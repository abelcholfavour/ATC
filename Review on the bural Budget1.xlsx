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GRANDMA AGOT\"/>
    </mc:Choice>
  </mc:AlternateContent>
  <xr:revisionPtr revIDLastSave="0" documentId="13_ncr:1_{10B49D23-5978-47CF-8C29-3FDA8BC10C42}" xr6:coauthVersionLast="47" xr6:coauthVersionMax="47" xr10:uidLastSave="{00000000-0000-0000-0000-000000000000}"/>
  <bookViews>
    <workbookView xWindow="-110" yWindow="-110" windowWidth="19420" windowHeight="10300" activeTab="1" xr2:uid="{9D7ACE33-61EA-45DA-AB6A-4D2B68D2862C}"/>
  </bookViews>
  <sheets>
    <sheet name="Sheet1" sheetId="1" r:id="rId1"/>
    <sheet name="CashBook - SSP" sheetId="4" r:id="rId2"/>
    <sheet name="CashBook -USD" sheetId="5" r:id="rId3"/>
    <sheet name="Animals" sheetId="6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8" i="4" l="1"/>
  <c r="F68" i="4"/>
  <c r="E68" i="4"/>
  <c r="F44" i="4"/>
  <c r="J50" i="4"/>
  <c r="G23" i="5"/>
  <c r="G44" i="5" s="1"/>
  <c r="F50" i="4"/>
  <c r="G42" i="4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I38" i="4"/>
  <c r="E43" i="4"/>
  <c r="I35" i="4" s="1"/>
  <c r="I37" i="4" s="1"/>
  <c r="F39" i="4"/>
  <c r="E16" i="4"/>
  <c r="C21" i="6"/>
  <c r="D21" i="6"/>
  <c r="E21" i="6"/>
  <c r="F21" i="6"/>
  <c r="F44" i="5"/>
  <c r="H11" i="5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E28" i="4"/>
  <c r="E19" i="4"/>
  <c r="E11" i="4"/>
  <c r="G11" i="4" s="1"/>
  <c r="G12" i="4" s="1"/>
  <c r="G13" i="4" s="1"/>
  <c r="G14" i="4" s="1"/>
  <c r="G15" i="4" s="1"/>
  <c r="I16" i="1"/>
  <c r="I10" i="1"/>
  <c r="K10" i="1" s="1"/>
  <c r="M10" i="1" s="1"/>
  <c r="R14" i="1"/>
  <c r="R13" i="1"/>
  <c r="R12" i="1"/>
  <c r="I11" i="1"/>
  <c r="K11" i="1" s="1"/>
  <c r="E11" i="1"/>
  <c r="F11" i="1" s="1"/>
  <c r="I14" i="1"/>
  <c r="K14" i="1" s="1"/>
  <c r="K15" i="1"/>
  <c r="I4" i="1"/>
  <c r="K5" i="1"/>
  <c r="K6" i="1"/>
  <c r="K7" i="1"/>
  <c r="K8" i="1"/>
  <c r="K9" i="1"/>
  <c r="K12" i="1"/>
  <c r="K13" i="1"/>
  <c r="K17" i="1"/>
  <c r="K3" i="1"/>
  <c r="E15" i="1"/>
  <c r="F15" i="1" s="1"/>
  <c r="H15" i="1" s="1"/>
  <c r="M15" i="1" s="1"/>
  <c r="F10" i="1"/>
  <c r="H10" i="1" s="1"/>
  <c r="F6" i="1"/>
  <c r="H6" i="1" s="1"/>
  <c r="F5" i="1"/>
  <c r="H5" i="1" s="1"/>
  <c r="F7" i="1"/>
  <c r="H7" i="1" s="1"/>
  <c r="F4" i="1"/>
  <c r="H4" i="1" s="1"/>
  <c r="F8" i="1"/>
  <c r="H8" i="1" s="1"/>
  <c r="F9" i="1"/>
  <c r="H9" i="1" s="1"/>
  <c r="F12" i="1"/>
  <c r="H12" i="1" s="1"/>
  <c r="M12" i="1" s="1"/>
  <c r="F13" i="1"/>
  <c r="H13" i="1" s="1"/>
  <c r="F14" i="1"/>
  <c r="H14" i="1" s="1"/>
  <c r="F16" i="1"/>
  <c r="H16" i="1" s="1"/>
  <c r="F17" i="1"/>
  <c r="H17" i="1" s="1"/>
  <c r="F3" i="1"/>
  <c r="H3" i="1" s="1"/>
  <c r="G69" i="4" l="1"/>
  <c r="H23" i="5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G16" i="4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H44" i="5"/>
  <c r="M6" i="1"/>
  <c r="M17" i="1"/>
  <c r="F18" i="1"/>
  <c r="L15" i="1"/>
  <c r="L4" i="1"/>
  <c r="L9" i="1"/>
  <c r="M9" i="1"/>
  <c r="L8" i="1"/>
  <c r="M8" i="1"/>
  <c r="L7" i="1"/>
  <c r="I18" i="1"/>
  <c r="K16" i="1"/>
  <c r="L11" i="1"/>
  <c r="L13" i="1"/>
  <c r="L6" i="1"/>
  <c r="M14" i="1"/>
  <c r="M5" i="1"/>
  <c r="H11" i="1"/>
  <c r="M11" i="1" s="1"/>
  <c r="L12" i="1"/>
  <c r="M7" i="1"/>
  <c r="L5" i="1"/>
  <c r="M13" i="1"/>
  <c r="L10" i="1"/>
  <c r="L17" i="1"/>
  <c r="L14" i="1"/>
  <c r="L16" i="1"/>
  <c r="K4" i="1"/>
  <c r="M3" i="1"/>
  <c r="L3" i="1"/>
  <c r="H45" i="5" l="1"/>
  <c r="H46" i="5" s="1"/>
  <c r="H68" i="4"/>
  <c r="I69" i="4" s="1"/>
  <c r="K18" i="1"/>
  <c r="H18" i="1"/>
  <c r="L18" i="1"/>
  <c r="M16" i="1"/>
  <c r="M18" i="1" s="1"/>
  <c r="M4" i="1"/>
  <c r="G70" i="4" l="1"/>
</calcChain>
</file>

<file path=xl/sharedStrings.xml><?xml version="1.0" encoding="utf-8"?>
<sst xmlns="http://schemas.openxmlformats.org/spreadsheetml/2006/main" count="170" uniqueCount="120">
  <si>
    <t>S/No</t>
  </si>
  <si>
    <t>Description of activities</t>
  </si>
  <si>
    <t>Procurement of Coffin</t>
  </si>
  <si>
    <t>Funeral IEC Materials (T-shirts, Stickers, Banners, photo frame)</t>
  </si>
  <si>
    <t>Digging and construction of grave</t>
  </si>
  <si>
    <t>Biography (1 January 1938 -15 July 2026)</t>
  </si>
  <si>
    <t>Unit</t>
  </si>
  <si>
    <t>QTY</t>
  </si>
  <si>
    <t>Unit cost (SSP)</t>
  </si>
  <si>
    <t>Grand total (SSP)</t>
  </si>
  <si>
    <t>Grand total USD</t>
  </si>
  <si>
    <t>Exchange rate SSP to USD</t>
  </si>
  <si>
    <t>PC</t>
  </si>
  <si>
    <t>Pc</t>
  </si>
  <si>
    <t>Hired buses to support the transportation during the burial day</t>
  </si>
  <si>
    <t>Fuel Ambulance to support the transportation of the corps during the burial day</t>
  </si>
  <si>
    <t>Hired buses to support the transportation during the funeral rites ceremony</t>
  </si>
  <si>
    <t>Each</t>
  </si>
  <si>
    <t>Media  House (Gadiang)</t>
  </si>
  <si>
    <t>Buying of cow</t>
  </si>
  <si>
    <t>Head</t>
  </si>
  <si>
    <t>Buying of goat</t>
  </si>
  <si>
    <t>Hire Venue  and Service for Funeral rites ceremony</t>
  </si>
  <si>
    <t>Assorted</t>
  </si>
  <si>
    <t>Transport cost for women representatives</t>
  </si>
  <si>
    <t>Fuel  to support transportation of burial committtee members</t>
  </si>
  <si>
    <t>Liter</t>
  </si>
  <si>
    <t>Actual Expenditure</t>
  </si>
  <si>
    <t>SSP</t>
  </si>
  <si>
    <t>USD</t>
  </si>
  <si>
    <t>Balance</t>
  </si>
  <si>
    <t>Exchange Rate SSP to USD</t>
  </si>
  <si>
    <t>Transport fees for the clergies and pastors during the burial Day</t>
  </si>
  <si>
    <t>pounds</t>
  </si>
  <si>
    <t>Comment</t>
  </si>
  <si>
    <t>Done</t>
  </si>
  <si>
    <t>Not Done</t>
  </si>
  <si>
    <t>Incomplete</t>
  </si>
  <si>
    <t>Done with Excess cost</t>
  </si>
  <si>
    <t>Done but pending</t>
  </si>
  <si>
    <t>Cost of Food items</t>
  </si>
  <si>
    <t>Payment</t>
  </si>
  <si>
    <t>CASHBOOK FOR THE BURIAL OF MAMA REBECCA AGOT DENG MALAUAL</t>
  </si>
  <si>
    <t>CASH BOOK FOR JULY 2026</t>
  </si>
  <si>
    <t>CURRENCY - SSP</t>
  </si>
  <si>
    <t>Date</t>
  </si>
  <si>
    <t>Description</t>
  </si>
  <si>
    <t>budget code</t>
  </si>
  <si>
    <t>Voucher number</t>
  </si>
  <si>
    <t>Reciepts</t>
  </si>
  <si>
    <t>Amount Brought forward</t>
  </si>
  <si>
    <t>Received from Nariak Nyagaach family</t>
  </si>
  <si>
    <t>Received from Amou Nyagaach family</t>
  </si>
  <si>
    <t>Received from Yom Manyang Family</t>
  </si>
  <si>
    <t>Received from Daniel Malaual Malual in Laws</t>
  </si>
  <si>
    <t>Received from Goch Pagleng</t>
  </si>
  <si>
    <t>Received from Aleer Kon Deng</t>
  </si>
  <si>
    <t>Received from Malual Jokgak and Bol Leek agutNyang (Paluaal)</t>
  </si>
  <si>
    <t>Received from Mawut Deng</t>
  </si>
  <si>
    <t>Received from Dr Goy Johnson Malaul (Paluaal)</t>
  </si>
  <si>
    <t>Received From Keth</t>
  </si>
  <si>
    <t>Released to Keth to support services delivery at home (Pan Nygach)</t>
  </si>
  <si>
    <t>Received from Deng Garang</t>
  </si>
  <si>
    <t>Received from Aleu Garang Dut</t>
  </si>
  <si>
    <t>Received fro Malaul Manyang</t>
  </si>
  <si>
    <t>Released to support procument of airtime</t>
  </si>
  <si>
    <t>Released to Keth to support services delivery at home (Pan Nygach)- 22,24,25</t>
  </si>
  <si>
    <t>Physical cash</t>
  </si>
  <si>
    <t>Differences</t>
  </si>
  <si>
    <t>CURRENCY - USD</t>
  </si>
  <si>
    <t xml:space="preserve">Received from  Daniel family Malual </t>
  </si>
  <si>
    <t>Released for Exchange from Yom family</t>
  </si>
  <si>
    <t>Released for Exchange from Amou  family</t>
  </si>
  <si>
    <t>Released for Exchange from Malual Manyang family</t>
  </si>
  <si>
    <t>Received from Keth Manyang Family</t>
  </si>
  <si>
    <t>Released for Exchange from Keth  family</t>
  </si>
  <si>
    <t>Released for Exchange from the balance brought forward</t>
  </si>
  <si>
    <t>Animal description</t>
  </si>
  <si>
    <t>Received</t>
  </si>
  <si>
    <t>Used</t>
  </si>
  <si>
    <t>Contributing family</t>
  </si>
  <si>
    <t>Nyagaach ( Francis Wundeng)</t>
  </si>
  <si>
    <t>Sheep</t>
  </si>
  <si>
    <t>Comments</t>
  </si>
  <si>
    <t>Sluaghtered during the mourning</t>
  </si>
  <si>
    <t>Keth family</t>
  </si>
  <si>
    <t>He-goats</t>
  </si>
  <si>
    <t>One sluaghtered during the mourning and arrival of Malual</t>
  </si>
  <si>
    <t>Pan-Chiengkuac</t>
  </si>
  <si>
    <t>Bul</t>
  </si>
  <si>
    <t>Sluaghtered on the Burial day</t>
  </si>
  <si>
    <t>Cow</t>
  </si>
  <si>
    <t>Goat/Sheet</t>
  </si>
  <si>
    <t>Pan Manayang</t>
  </si>
  <si>
    <t>He-goat</t>
  </si>
  <si>
    <t>Total</t>
  </si>
  <si>
    <t>Funds relaseed for support of 31st meeting</t>
  </si>
  <si>
    <t>Digging and construction of grave started on 22</t>
  </si>
  <si>
    <t>Difference</t>
  </si>
  <si>
    <t>Physical Cash</t>
  </si>
  <si>
    <t>Received from Deng Agutdiing (Deng Agot-nyabob) Deng Malual</t>
  </si>
  <si>
    <t>Buying of goat to start digging and construction of the grave</t>
  </si>
  <si>
    <t>Received Majok Agot Ayor</t>
  </si>
  <si>
    <t>Received from Maduk Bol Achuk</t>
  </si>
  <si>
    <t>Received from Bona Malual Jogak ( Pan Deng)</t>
  </si>
  <si>
    <t xml:space="preserve">Realeased for the preparation of Funeral Prayers, transportation </t>
  </si>
  <si>
    <t>Realeased for the preparation for the support of the funeral day activities</t>
  </si>
  <si>
    <t>Realeased for water, soda and printing of Biograpghy</t>
  </si>
  <si>
    <t>Realeased for the buying Bundles for the media team ( 2 media teams Line and Gadiang)</t>
  </si>
  <si>
    <t>Received from Bol Kuer Ayual</t>
  </si>
  <si>
    <t>Realased for transportation from Buluk for Mapau and received by (Achuk)</t>
  </si>
  <si>
    <t>Released for the Rosa ineternal operation ( Chol Bol)</t>
  </si>
  <si>
    <t>Receieved from Keth for Soda and water</t>
  </si>
  <si>
    <t>Released to support procurment of soda and water</t>
  </si>
  <si>
    <t>Released for Transportation for 3 buses</t>
  </si>
  <si>
    <t>Closing balance as of 01-August-2026</t>
  </si>
  <si>
    <t>Closing balance as of 01st -August</t>
  </si>
  <si>
    <t>Released for fuel to carry tents</t>
  </si>
  <si>
    <t>Released to support home activities today</t>
  </si>
  <si>
    <t xml:space="preserve">Released for media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</si>
</sst>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8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b/>
      <sz val="12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/>
    <xf numFmtId="3" fontId="2" fillId="0" borderId="0" xfId="0" applyNumberFormat="1" applyFont="1"/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3" fontId="2" fillId="0" borderId="2" xfId="0" applyNumberFormat="1" applyFont="1" applyBorder="1" applyAlignment="1">
      <alignment wrapText="1"/>
    </xf>
    <xf numFmtId="0" fontId="2" fillId="0" borderId="1" xfId="0" applyFont="1" applyBorder="1"/>
    <xf numFmtId="3" fontId="2" fillId="0" borderId="1" xfId="0" applyNumberFormat="1" applyFont="1" applyBorder="1"/>
    <xf numFmtId="3" fontId="3" fillId="0" borderId="1" xfId="0" applyNumberFormat="1" applyFont="1" applyBorder="1"/>
    <xf numFmtId="0" fontId="5" fillId="0" borderId="0" xfId="0" applyFont="1"/>
    <xf numFmtId="0" fontId="5" fillId="2" borderId="1" xfId="0" applyFont="1" applyFill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5" fillId="2" borderId="6" xfId="0" applyFont="1" applyFill="1" applyBorder="1" applyAlignment="1">
      <alignment horizontal="center" vertical="top"/>
    </xf>
    <xf numFmtId="0" fontId="5" fillId="0" borderId="6" xfId="0" applyFont="1" applyBorder="1" applyAlignment="1">
      <alignment horizontal="right" vertical="top"/>
    </xf>
    <xf numFmtId="164" fontId="4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3" fontId="6" fillId="0" borderId="1" xfId="0" applyNumberFormat="1" applyFont="1" applyBorder="1" applyAlignment="1">
      <alignment horizontal="center" vertical="top"/>
    </xf>
    <xf numFmtId="3" fontId="7" fillId="0" borderId="1" xfId="0" applyNumberFormat="1" applyFont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0" fontId="8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3" fontId="5" fillId="0" borderId="0" xfId="0" applyNumberFormat="1" applyFont="1" applyAlignment="1">
      <alignment horizontal="left" vertical="top"/>
    </xf>
    <xf numFmtId="0" fontId="6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center" vertical="top"/>
    </xf>
    <xf numFmtId="0" fontId="5" fillId="0" borderId="0" xfId="0" applyFont="1" applyAlignment="1">
      <alignment horizontal="right"/>
    </xf>
    <xf numFmtId="0" fontId="2" fillId="3" borderId="1" xfId="0" applyFont="1" applyFill="1" applyBorder="1" applyAlignment="1">
      <alignment vertical="center" wrapText="1"/>
    </xf>
    <xf numFmtId="0" fontId="11" fillId="0" borderId="0" xfId="0" applyFont="1"/>
    <xf numFmtId="3" fontId="12" fillId="0" borderId="1" xfId="0" applyNumberFormat="1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0" fontId="14" fillId="0" borderId="0" xfId="0" applyFont="1"/>
    <xf numFmtId="0" fontId="12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0" fontId="16" fillId="0" borderId="1" xfId="0" applyFont="1" applyBorder="1"/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3" fontId="11" fillId="0" borderId="1" xfId="0" applyNumberFormat="1" applyFont="1" applyBorder="1"/>
    <xf numFmtId="3" fontId="11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top"/>
    </xf>
    <xf numFmtId="0" fontId="6" fillId="0" borderId="0" xfId="0" applyFont="1" applyAlignment="1">
      <alignment horizontal="center"/>
    </xf>
    <xf numFmtId="3" fontId="17" fillId="0" borderId="0" xfId="0" applyNumberFormat="1" applyFont="1" applyAlignment="1">
      <alignment horizontal="left" vertical="top"/>
    </xf>
    <xf numFmtId="3" fontId="5" fillId="3" borderId="0" xfId="0" applyNumberFormat="1" applyFont="1" applyFill="1" applyAlignment="1">
      <alignment horizontal="left" vertical="top"/>
    </xf>
    <xf numFmtId="3" fontId="5" fillId="0" borderId="0" xfId="0" applyNumberFormat="1" applyFont="1"/>
    <xf numFmtId="0" fontId="2" fillId="0" borderId="0" xfId="0" applyFont="1"/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3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3" fontId="11" fillId="0" borderId="3" xfId="0" applyNumberFormat="1" applyFont="1" applyBorder="1" applyAlignment="1">
      <alignment horizontal="center"/>
    </xf>
    <xf numFmtId="3" fontId="11" fillId="0" borderId="4" xfId="0" applyNumberFormat="1" applyFont="1" applyBorder="1" applyAlignment="1">
      <alignment horizontal="center"/>
    </xf>
    <xf numFmtId="3" fontId="11" fillId="0" borderId="5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1F59-EDBC-4375-A42A-974BEBA7BFDD}">
  <dimension ref="A1:R23"/>
  <sheetViews>
    <sheetView topLeftCell="B6" workbookViewId="0">
      <selection activeCell="I16" sqref="I16"/>
    </sheetView>
  </sheetViews>
  <sheetFormatPr defaultColWidth="8.7265625" defaultRowHeight="18" x14ac:dyDescent="0.4"/>
  <cols>
    <col min="1" max="1" width="8.81640625" style="3" bestFit="1" customWidth="1"/>
    <col min="2" max="2" width="59.1796875" style="3" customWidth="1"/>
    <col min="3" max="3" width="9.81640625" style="3" bestFit="1" customWidth="1"/>
    <col min="4" max="4" width="8.81640625" style="3" bestFit="1" customWidth="1"/>
    <col min="5" max="5" width="16" style="4" customWidth="1"/>
    <col min="6" max="6" width="12.453125" style="4" bestFit="1" customWidth="1"/>
    <col min="7" max="7" width="8.81640625" style="4" bestFit="1" customWidth="1"/>
    <col min="8" max="8" width="8.81640625" style="3" bestFit="1" customWidth="1"/>
    <col min="9" max="9" width="12.453125" style="4" bestFit="1" customWidth="1"/>
    <col min="10" max="10" width="8.81640625" style="3" bestFit="1" customWidth="1"/>
    <col min="11" max="11" width="8.81640625" style="4" bestFit="1" customWidth="1"/>
    <col min="12" max="12" width="12.453125" style="3" bestFit="1" customWidth="1"/>
    <col min="13" max="13" width="8.81640625" style="3" bestFit="1" customWidth="1"/>
    <col min="14" max="14" width="19.1796875" style="3" bestFit="1" customWidth="1"/>
    <col min="15" max="15" width="8.7265625" style="3"/>
    <col min="16" max="17" width="8.81640625" style="3" bestFit="1" customWidth="1"/>
    <col min="18" max="18" width="9.81640625" style="3" bestFit="1" customWidth="1"/>
    <col min="19" max="16384" width="8.7265625" style="3"/>
  </cols>
  <sheetData>
    <row r="1" spans="1:18" x14ac:dyDescent="0.4">
      <c r="I1" s="51" t="s">
        <v>27</v>
      </c>
      <c r="J1" s="51"/>
      <c r="K1" s="51"/>
      <c r="L1" s="51" t="s">
        <v>30</v>
      </c>
      <c r="M1" s="51"/>
    </row>
    <row r="2" spans="1:18" ht="72" x14ac:dyDescent="0.4">
      <c r="A2" s="1" t="s">
        <v>0</v>
      </c>
      <c r="B2" s="1" t="s">
        <v>1</v>
      </c>
      <c r="C2" s="5" t="s">
        <v>6</v>
      </c>
      <c r="D2" s="5" t="s">
        <v>7</v>
      </c>
      <c r="E2" s="6" t="s">
        <v>8</v>
      </c>
      <c r="F2" s="6" t="s">
        <v>9</v>
      </c>
      <c r="G2" s="6" t="s">
        <v>11</v>
      </c>
      <c r="H2" s="5" t="s">
        <v>10</v>
      </c>
      <c r="I2" s="6" t="s">
        <v>28</v>
      </c>
      <c r="J2" s="5" t="s">
        <v>31</v>
      </c>
      <c r="K2" s="6" t="s">
        <v>29</v>
      </c>
      <c r="L2" s="6" t="s">
        <v>28</v>
      </c>
      <c r="M2" s="6" t="s">
        <v>29</v>
      </c>
      <c r="N2" s="7" t="s">
        <v>34</v>
      </c>
    </row>
    <row r="3" spans="1:18" x14ac:dyDescent="0.4">
      <c r="A3" s="2">
        <v>1</v>
      </c>
      <c r="B3" s="2" t="s">
        <v>2</v>
      </c>
      <c r="C3" s="8" t="s">
        <v>12</v>
      </c>
      <c r="D3" s="8">
        <v>1</v>
      </c>
      <c r="E3" s="9">
        <v>2750000</v>
      </c>
      <c r="F3" s="9">
        <f>D3*E3</f>
        <v>2750000</v>
      </c>
      <c r="G3" s="9">
        <v>7500</v>
      </c>
      <c r="H3" s="9">
        <f>F3/G3</f>
        <v>366.66666666666669</v>
      </c>
      <c r="I3" s="9">
        <v>2500000</v>
      </c>
      <c r="J3" s="9">
        <v>7500</v>
      </c>
      <c r="K3" s="9">
        <f>I3/J3</f>
        <v>333.33333333333331</v>
      </c>
      <c r="L3" s="9">
        <f>F3-I3</f>
        <v>250000</v>
      </c>
      <c r="M3" s="9">
        <f>H3-K3</f>
        <v>33.333333333333371</v>
      </c>
      <c r="N3" s="3" t="s">
        <v>35</v>
      </c>
    </row>
    <row r="4" spans="1:18" ht="36" x14ac:dyDescent="0.4">
      <c r="A4" s="2">
        <v>2</v>
      </c>
      <c r="B4" s="2" t="s">
        <v>14</v>
      </c>
      <c r="C4" s="8" t="s">
        <v>13</v>
      </c>
      <c r="D4" s="8">
        <v>3</v>
      </c>
      <c r="E4" s="9">
        <v>750000</v>
      </c>
      <c r="F4" s="9">
        <f t="shared" ref="F4:F17" si="0">D4*E4</f>
        <v>2250000</v>
      </c>
      <c r="G4" s="9">
        <v>7500</v>
      </c>
      <c r="H4" s="9">
        <f t="shared" ref="H4:H17" si="1">F4/G4</f>
        <v>300</v>
      </c>
      <c r="I4" s="9">
        <f>(750000*3)</f>
        <v>2250000</v>
      </c>
      <c r="J4" s="9">
        <v>7500</v>
      </c>
      <c r="K4" s="9">
        <f t="shared" ref="K4:K17" si="2">I4/J4</f>
        <v>300</v>
      </c>
      <c r="L4" s="9">
        <f t="shared" ref="L4:L17" si="3">F4-I4</f>
        <v>0</v>
      </c>
      <c r="M4" s="9">
        <f t="shared" ref="M4:M17" si="4">H4-K4</f>
        <v>0</v>
      </c>
      <c r="N4" s="3" t="s">
        <v>35</v>
      </c>
    </row>
    <row r="5" spans="1:18" ht="36" x14ac:dyDescent="0.4">
      <c r="A5" s="2">
        <v>3</v>
      </c>
      <c r="B5" s="2" t="s">
        <v>15</v>
      </c>
      <c r="C5" s="8" t="s">
        <v>12</v>
      </c>
      <c r="D5" s="8">
        <v>1</v>
      </c>
      <c r="E5" s="9">
        <v>400000</v>
      </c>
      <c r="F5" s="9">
        <f t="shared" si="0"/>
        <v>400000</v>
      </c>
      <c r="G5" s="9">
        <v>7500</v>
      </c>
      <c r="H5" s="9">
        <f t="shared" si="1"/>
        <v>53.333333333333336</v>
      </c>
      <c r="I5" s="9">
        <v>400000</v>
      </c>
      <c r="J5" s="9">
        <v>7500</v>
      </c>
      <c r="K5" s="9">
        <f t="shared" si="2"/>
        <v>53.333333333333336</v>
      </c>
      <c r="L5" s="9">
        <f t="shared" si="3"/>
        <v>0</v>
      </c>
      <c r="M5" s="9">
        <f t="shared" si="4"/>
        <v>0</v>
      </c>
      <c r="N5" s="3" t="s">
        <v>35</v>
      </c>
    </row>
    <row r="6" spans="1:18" ht="36" x14ac:dyDescent="0.4">
      <c r="A6" s="2">
        <v>4</v>
      </c>
      <c r="B6" s="2" t="s">
        <v>16</v>
      </c>
      <c r="C6" s="8" t="s">
        <v>12</v>
      </c>
      <c r="D6" s="8">
        <v>3</v>
      </c>
      <c r="E6" s="9">
        <v>750000</v>
      </c>
      <c r="F6" s="9">
        <f t="shared" si="0"/>
        <v>2250000</v>
      </c>
      <c r="G6" s="9">
        <v>7500</v>
      </c>
      <c r="H6" s="9">
        <f t="shared" si="1"/>
        <v>300</v>
      </c>
      <c r="I6" s="9">
        <v>0</v>
      </c>
      <c r="J6" s="9">
        <v>7500</v>
      </c>
      <c r="K6" s="9">
        <f t="shared" si="2"/>
        <v>0</v>
      </c>
      <c r="L6" s="9">
        <f t="shared" si="3"/>
        <v>2250000</v>
      </c>
      <c r="M6" s="9">
        <f t="shared" si="4"/>
        <v>300</v>
      </c>
      <c r="N6" s="3" t="s">
        <v>36</v>
      </c>
    </row>
    <row r="7" spans="1:18" ht="36" x14ac:dyDescent="0.4">
      <c r="A7" s="2">
        <v>5</v>
      </c>
      <c r="B7" s="2" t="s">
        <v>32</v>
      </c>
      <c r="C7" s="8" t="s">
        <v>17</v>
      </c>
      <c r="D7" s="8">
        <v>1</v>
      </c>
      <c r="E7" s="9">
        <v>200000</v>
      </c>
      <c r="F7" s="9">
        <f t="shared" ref="F7" si="5">D7*E7</f>
        <v>200000</v>
      </c>
      <c r="G7" s="9">
        <v>7500</v>
      </c>
      <c r="H7" s="9">
        <f t="shared" ref="H7" si="6">F7/G7</f>
        <v>26.666666666666668</v>
      </c>
      <c r="I7" s="9">
        <v>200000</v>
      </c>
      <c r="J7" s="9">
        <v>7500</v>
      </c>
      <c r="K7" s="9">
        <f t="shared" si="2"/>
        <v>26.666666666666668</v>
      </c>
      <c r="L7" s="9">
        <f t="shared" si="3"/>
        <v>0</v>
      </c>
      <c r="M7" s="9">
        <f t="shared" si="4"/>
        <v>0</v>
      </c>
      <c r="N7" s="3" t="s">
        <v>35</v>
      </c>
    </row>
    <row r="8" spans="1:18" x14ac:dyDescent="0.4">
      <c r="A8" s="2">
        <v>6</v>
      </c>
      <c r="B8" s="2" t="s">
        <v>18</v>
      </c>
      <c r="C8" s="8" t="s">
        <v>17</v>
      </c>
      <c r="D8" s="8">
        <v>1</v>
      </c>
      <c r="E8" s="9">
        <v>750000</v>
      </c>
      <c r="F8" s="9">
        <f t="shared" si="0"/>
        <v>750000</v>
      </c>
      <c r="G8" s="9">
        <v>7500</v>
      </c>
      <c r="H8" s="9">
        <f t="shared" si="1"/>
        <v>100</v>
      </c>
      <c r="I8" s="9">
        <v>100000</v>
      </c>
      <c r="J8" s="9">
        <v>7500</v>
      </c>
      <c r="K8" s="9">
        <f t="shared" si="2"/>
        <v>13.333333333333334</v>
      </c>
      <c r="L8" s="9">
        <f t="shared" si="3"/>
        <v>650000</v>
      </c>
      <c r="M8" s="9">
        <f t="shared" si="4"/>
        <v>86.666666666666671</v>
      </c>
      <c r="N8" s="3" t="s">
        <v>37</v>
      </c>
    </row>
    <row r="9" spans="1:18" x14ac:dyDescent="0.4">
      <c r="A9" s="2">
        <v>7</v>
      </c>
      <c r="B9" s="2" t="s">
        <v>19</v>
      </c>
      <c r="C9" s="8" t="s">
        <v>20</v>
      </c>
      <c r="D9" s="8">
        <v>3</v>
      </c>
      <c r="E9" s="9">
        <v>3800000</v>
      </c>
      <c r="F9" s="9">
        <f t="shared" si="0"/>
        <v>11400000</v>
      </c>
      <c r="G9" s="9">
        <v>7500</v>
      </c>
      <c r="H9" s="9">
        <f t="shared" si="1"/>
        <v>1520</v>
      </c>
      <c r="I9" s="9">
        <v>3800000</v>
      </c>
      <c r="J9" s="9">
        <v>7500</v>
      </c>
      <c r="K9" s="9">
        <f t="shared" si="2"/>
        <v>506.66666666666669</v>
      </c>
      <c r="L9" s="9">
        <f t="shared" si="3"/>
        <v>7600000</v>
      </c>
      <c r="M9" s="9">
        <f t="shared" si="4"/>
        <v>1013.3333333333333</v>
      </c>
      <c r="N9" s="3" t="s">
        <v>37</v>
      </c>
    </row>
    <row r="10" spans="1:18" x14ac:dyDescent="0.4">
      <c r="A10" s="2">
        <v>8</v>
      </c>
      <c r="B10" s="2" t="s">
        <v>21</v>
      </c>
      <c r="C10" s="8" t="s">
        <v>20</v>
      </c>
      <c r="D10" s="8">
        <v>1</v>
      </c>
      <c r="E10" s="9">
        <v>1300000</v>
      </c>
      <c r="F10" s="9">
        <f t="shared" ref="F10:F11" si="7">D10*E10</f>
        <v>1300000</v>
      </c>
      <c r="G10" s="9">
        <v>7500</v>
      </c>
      <c r="H10" s="9">
        <f t="shared" ref="H10:H11" si="8">F10/G10</f>
        <v>173.33333333333334</v>
      </c>
      <c r="I10" s="9">
        <f>1050000+60000+250000+500000</f>
        <v>1860000</v>
      </c>
      <c r="J10" s="9">
        <v>7500</v>
      </c>
      <c r="K10" s="9">
        <f t="shared" si="2"/>
        <v>248</v>
      </c>
      <c r="L10" s="9">
        <f t="shared" si="3"/>
        <v>-560000</v>
      </c>
      <c r="M10" s="9">
        <f t="shared" si="4"/>
        <v>-74.666666666666657</v>
      </c>
      <c r="N10" s="3" t="s">
        <v>38</v>
      </c>
    </row>
    <row r="11" spans="1:18" x14ac:dyDescent="0.4">
      <c r="A11" s="2">
        <v>10</v>
      </c>
      <c r="B11" s="2" t="s">
        <v>40</v>
      </c>
      <c r="C11" s="8" t="s">
        <v>23</v>
      </c>
      <c r="D11" s="8">
        <v>3</v>
      </c>
      <c r="E11" s="9">
        <f>8000000/3</f>
        <v>2666666.6666666665</v>
      </c>
      <c r="F11" s="9">
        <f t="shared" si="7"/>
        <v>8000000</v>
      </c>
      <c r="G11" s="9">
        <v>7500</v>
      </c>
      <c r="H11" s="9">
        <f t="shared" si="8"/>
        <v>1066.6666666666667</v>
      </c>
      <c r="I11" s="9">
        <f>2666000</f>
        <v>2666000</v>
      </c>
      <c r="J11" s="9">
        <v>7500</v>
      </c>
      <c r="K11" s="9">
        <f t="shared" ref="K11" si="9">I11/J11</f>
        <v>355.46666666666664</v>
      </c>
      <c r="L11" s="9">
        <f t="shared" ref="L11" si="10">F11-I11</f>
        <v>5334000</v>
      </c>
      <c r="M11" s="9">
        <f t="shared" ref="M11" si="11">H11-K11</f>
        <v>711.2</v>
      </c>
      <c r="N11" s="3" t="s">
        <v>39</v>
      </c>
    </row>
    <row r="12" spans="1:18" x14ac:dyDescent="0.4">
      <c r="A12" s="2">
        <v>9</v>
      </c>
      <c r="B12" s="2" t="s">
        <v>22</v>
      </c>
      <c r="C12" s="8" t="s">
        <v>23</v>
      </c>
      <c r="D12" s="8">
        <v>1</v>
      </c>
      <c r="E12" s="9">
        <v>6000000</v>
      </c>
      <c r="F12" s="9">
        <f t="shared" si="0"/>
        <v>6000000</v>
      </c>
      <c r="G12" s="9">
        <v>7500</v>
      </c>
      <c r="H12" s="9">
        <f t="shared" si="1"/>
        <v>800</v>
      </c>
      <c r="I12" s="9">
        <v>0</v>
      </c>
      <c r="J12" s="9">
        <v>7500</v>
      </c>
      <c r="K12" s="9">
        <f t="shared" si="2"/>
        <v>0</v>
      </c>
      <c r="L12" s="9">
        <f t="shared" si="3"/>
        <v>6000000</v>
      </c>
      <c r="M12" s="9">
        <f t="shared" si="4"/>
        <v>800</v>
      </c>
      <c r="N12" s="3" t="s">
        <v>36</v>
      </c>
      <c r="P12" s="3">
        <v>7500</v>
      </c>
      <c r="Q12" s="3">
        <v>142</v>
      </c>
      <c r="R12" s="3">
        <f>P12*Q12</f>
        <v>1065000</v>
      </c>
    </row>
    <row r="13" spans="1:18" x14ac:dyDescent="0.4">
      <c r="A13" s="2">
        <v>10</v>
      </c>
      <c r="B13" s="2" t="s">
        <v>24</v>
      </c>
      <c r="C13" s="8" t="s">
        <v>17</v>
      </c>
      <c r="D13" s="8">
        <v>1</v>
      </c>
      <c r="E13" s="9">
        <v>100000</v>
      </c>
      <c r="F13" s="9">
        <f t="shared" si="0"/>
        <v>100000</v>
      </c>
      <c r="G13" s="9">
        <v>7500</v>
      </c>
      <c r="H13" s="9">
        <f t="shared" si="1"/>
        <v>13.333333333333334</v>
      </c>
      <c r="I13" s="9">
        <v>100000</v>
      </c>
      <c r="J13" s="9">
        <v>7500</v>
      </c>
      <c r="K13" s="9">
        <f t="shared" si="2"/>
        <v>13.333333333333334</v>
      </c>
      <c r="L13" s="9">
        <f t="shared" si="3"/>
        <v>0</v>
      </c>
      <c r="M13" s="9">
        <f t="shared" si="4"/>
        <v>0</v>
      </c>
      <c r="N13" s="3" t="s">
        <v>39</v>
      </c>
      <c r="P13" s="3">
        <v>7500</v>
      </c>
      <c r="Q13" s="3">
        <v>120</v>
      </c>
      <c r="R13" s="3">
        <f t="shared" ref="R13" si="12">P13*Q13</f>
        <v>900000</v>
      </c>
    </row>
    <row r="14" spans="1:18" ht="36" x14ac:dyDescent="0.4">
      <c r="A14" s="2">
        <v>11</v>
      </c>
      <c r="B14" s="2" t="s">
        <v>25</v>
      </c>
      <c r="C14" s="8" t="s">
        <v>26</v>
      </c>
      <c r="D14" s="8">
        <v>100</v>
      </c>
      <c r="E14" s="9">
        <v>15000</v>
      </c>
      <c r="F14" s="9">
        <f t="shared" si="0"/>
        <v>1500000</v>
      </c>
      <c r="G14" s="9">
        <v>7500</v>
      </c>
      <c r="H14" s="9">
        <f t="shared" si="1"/>
        <v>200</v>
      </c>
      <c r="I14" s="9">
        <f>150000+300000</f>
        <v>450000</v>
      </c>
      <c r="J14" s="9">
        <v>7500</v>
      </c>
      <c r="K14" s="9">
        <f t="shared" si="2"/>
        <v>60</v>
      </c>
      <c r="L14" s="9">
        <f t="shared" si="3"/>
        <v>1050000</v>
      </c>
      <c r="M14" s="9">
        <f t="shared" si="4"/>
        <v>140</v>
      </c>
      <c r="N14" s="3" t="s">
        <v>37</v>
      </c>
      <c r="R14" s="3">
        <f>SUM(R12:R13)</f>
        <v>1965000</v>
      </c>
    </row>
    <row r="15" spans="1:18" ht="36" x14ac:dyDescent="0.4">
      <c r="A15" s="2">
        <v>12</v>
      </c>
      <c r="B15" s="2" t="s">
        <v>3</v>
      </c>
      <c r="C15" s="8" t="s">
        <v>23</v>
      </c>
      <c r="D15" s="8">
        <v>1</v>
      </c>
      <c r="E15" s="9">
        <f>1950000 +90000</f>
        <v>2040000</v>
      </c>
      <c r="F15" s="9">
        <f t="shared" si="0"/>
        <v>2040000</v>
      </c>
      <c r="G15" s="9">
        <v>7500</v>
      </c>
      <c r="H15" s="9">
        <f t="shared" si="1"/>
        <v>272</v>
      </c>
      <c r="I15" s="9">
        <v>2040000</v>
      </c>
      <c r="J15" s="9">
        <v>7500</v>
      </c>
      <c r="K15" s="9">
        <f>I15/J15</f>
        <v>272</v>
      </c>
      <c r="L15" s="9">
        <f t="shared" si="3"/>
        <v>0</v>
      </c>
      <c r="M15" s="9">
        <f t="shared" si="4"/>
        <v>0</v>
      </c>
      <c r="N15" s="3" t="s">
        <v>35</v>
      </c>
    </row>
    <row r="16" spans="1:18" x14ac:dyDescent="0.4">
      <c r="A16" s="2">
        <v>13</v>
      </c>
      <c r="B16" s="2" t="s">
        <v>4</v>
      </c>
      <c r="C16" s="8" t="s">
        <v>17</v>
      </c>
      <c r="D16" s="8">
        <v>1</v>
      </c>
      <c r="E16" s="9">
        <v>9500000</v>
      </c>
      <c r="F16" s="9">
        <f t="shared" si="0"/>
        <v>9500000</v>
      </c>
      <c r="G16" s="9">
        <v>7500</v>
      </c>
      <c r="H16" s="9">
        <f t="shared" si="1"/>
        <v>1266.6666666666667</v>
      </c>
      <c r="I16" s="10">
        <f>2500000+705000+1965000+300000+224000+50000+180000+840000+300000+100000+100000+50000</f>
        <v>7314000</v>
      </c>
      <c r="J16" s="9">
        <v>7500</v>
      </c>
      <c r="K16" s="9">
        <f t="shared" si="2"/>
        <v>975.2</v>
      </c>
      <c r="L16" s="9">
        <f t="shared" si="3"/>
        <v>2186000</v>
      </c>
      <c r="M16" s="9">
        <f t="shared" si="4"/>
        <v>291.4666666666667</v>
      </c>
      <c r="N16" s="3" t="s">
        <v>37</v>
      </c>
    </row>
    <row r="17" spans="1:14" x14ac:dyDescent="0.4">
      <c r="A17" s="2">
        <v>14</v>
      </c>
      <c r="B17" s="2" t="s">
        <v>5</v>
      </c>
      <c r="C17" s="8" t="s">
        <v>13</v>
      </c>
      <c r="D17" s="8">
        <v>50</v>
      </c>
      <c r="E17" s="9">
        <v>1000</v>
      </c>
      <c r="F17" s="9">
        <f t="shared" si="0"/>
        <v>50000</v>
      </c>
      <c r="G17" s="9">
        <v>7500</v>
      </c>
      <c r="H17" s="9">
        <f t="shared" si="1"/>
        <v>6.666666666666667</v>
      </c>
      <c r="I17" s="9">
        <v>0</v>
      </c>
      <c r="J17" s="9">
        <v>7500</v>
      </c>
      <c r="K17" s="9">
        <f t="shared" si="2"/>
        <v>0</v>
      </c>
      <c r="L17" s="9">
        <f t="shared" si="3"/>
        <v>50000</v>
      </c>
      <c r="M17" s="9">
        <f t="shared" si="4"/>
        <v>6.666666666666667</v>
      </c>
      <c r="N17" s="3" t="s">
        <v>37</v>
      </c>
    </row>
    <row r="18" spans="1:14" x14ac:dyDescent="0.4">
      <c r="A18" s="8"/>
      <c r="B18" s="8"/>
      <c r="C18" s="8"/>
      <c r="D18" s="8"/>
      <c r="E18" s="9"/>
      <c r="F18" s="9">
        <f>SUM(F3:F17)</f>
        <v>48490000</v>
      </c>
      <c r="G18" s="9"/>
      <c r="H18" s="9">
        <f>SUM(H3:H17)</f>
        <v>6465.3333333333339</v>
      </c>
      <c r="I18" s="9">
        <f>SUM(I3:I17)</f>
        <v>23680000</v>
      </c>
      <c r="J18" s="9">
        <v>7500</v>
      </c>
      <c r="K18" s="9">
        <f>SUM(K3:K17)</f>
        <v>3157.333333333333</v>
      </c>
      <c r="L18" s="9">
        <f>SUM(L3:L17)</f>
        <v>24810000</v>
      </c>
      <c r="M18" s="9">
        <f>SUM(M3:M17)</f>
        <v>3308</v>
      </c>
    </row>
    <row r="22" spans="1:14" x14ac:dyDescent="0.4">
      <c r="E22" s="4" t="s">
        <v>33</v>
      </c>
    </row>
    <row r="23" spans="1:14" x14ac:dyDescent="0.4">
      <c r="C23" s="3">
        <v>2500000</v>
      </c>
    </row>
  </sheetData>
  <mergeCells count="2">
    <mergeCell ref="I1:K1"/>
    <mergeCell ref="L1:M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74565-0EC7-479D-BEC6-742C3F127640}">
  <sheetPr>
    <pageSetUpPr fitToPage="1"/>
  </sheetPr>
  <dimension ref="B6:K80"/>
  <sheetViews>
    <sheetView tabSelected="1" topLeftCell="A51" zoomScale="71" zoomScaleNormal="82" workbookViewId="0">
      <selection activeCell="J55" sqref="J55"/>
    </sheetView>
  </sheetViews>
  <sheetFormatPr defaultColWidth="8.81640625" defaultRowHeight="15.5" x14ac:dyDescent="0.35"/>
  <cols>
    <col min="1" max="1" width="4.453125" style="11" customWidth="1"/>
    <col min="2" max="2" width="12.54296875" style="13" customWidth="1"/>
    <col min="3" max="3" width="85.453125" style="11" customWidth="1"/>
    <col min="4" max="4" width="0.1796875" style="31" customWidth="1"/>
    <col min="5" max="5" width="13.54296875" style="11" customWidth="1"/>
    <col min="6" max="6" width="16.453125" style="11" customWidth="1"/>
    <col min="7" max="7" width="15.1796875" style="11" customWidth="1"/>
    <col min="8" max="8" width="14.54296875" style="11" customWidth="1"/>
    <col min="9" max="9" width="10" style="11" bestFit="1" customWidth="1"/>
    <col min="10" max="10" width="13" style="11" customWidth="1"/>
    <col min="11" max="16384" width="8.81640625" style="11"/>
  </cols>
  <sheetData>
    <row r="6" spans="2:8" ht="15.65" customHeight="1" x14ac:dyDescent="0.35">
      <c r="B6" s="52" t="s">
        <v>42</v>
      </c>
      <c r="C6" s="53"/>
      <c r="D6" s="53"/>
      <c r="E6" s="53"/>
      <c r="F6" s="53"/>
      <c r="G6" s="54"/>
    </row>
    <row r="7" spans="2:8" x14ac:dyDescent="0.35">
      <c r="B7" s="52" t="s">
        <v>43</v>
      </c>
      <c r="C7" s="53"/>
      <c r="D7" s="53"/>
      <c r="E7" s="53"/>
      <c r="F7" s="53"/>
      <c r="G7" s="54"/>
    </row>
    <row r="8" spans="2:8" x14ac:dyDescent="0.35">
      <c r="B8" s="52" t="s">
        <v>44</v>
      </c>
      <c r="C8" s="53"/>
      <c r="D8" s="53"/>
      <c r="E8" s="53"/>
      <c r="F8" s="53"/>
      <c r="G8" s="54"/>
    </row>
    <row r="9" spans="2:8" s="47" customFormat="1" ht="22.4" customHeight="1" x14ac:dyDescent="0.35">
      <c r="B9" s="46" t="s">
        <v>45</v>
      </c>
      <c r="C9" s="46" t="s">
        <v>46</v>
      </c>
      <c r="D9" s="46" t="s">
        <v>47</v>
      </c>
      <c r="E9" s="46" t="s">
        <v>49</v>
      </c>
      <c r="F9" s="46" t="s">
        <v>41</v>
      </c>
      <c r="G9" s="46" t="s">
        <v>30</v>
      </c>
    </row>
    <row r="10" spans="2:8" x14ac:dyDescent="0.35">
      <c r="B10" s="14"/>
      <c r="C10" s="14"/>
      <c r="D10" s="14"/>
      <c r="E10" s="14"/>
      <c r="F10" s="14"/>
      <c r="G10" s="15">
        <v>0</v>
      </c>
    </row>
    <row r="11" spans="2:8" s="22" customFormat="1" ht="18" customHeight="1" x14ac:dyDescent="0.35">
      <c r="B11" s="16">
        <v>46223</v>
      </c>
      <c r="C11" s="45" t="s">
        <v>50</v>
      </c>
      <c r="D11" s="18"/>
      <c r="E11" s="20">
        <f>1100000+1500000</f>
        <v>2600000</v>
      </c>
      <c r="F11" s="21">
        <v>0</v>
      </c>
      <c r="G11" s="21">
        <f>G10+E11-F11</f>
        <v>2600000</v>
      </c>
    </row>
    <row r="12" spans="2:8" s="22" customFormat="1" ht="35.5" customHeight="1" x14ac:dyDescent="0.35">
      <c r="B12" s="16">
        <v>46224</v>
      </c>
      <c r="C12" s="23" t="s">
        <v>60</v>
      </c>
      <c r="D12" s="18"/>
      <c r="E12" s="25">
        <v>7314000</v>
      </c>
      <c r="F12" s="26">
        <v>0</v>
      </c>
      <c r="G12" s="21">
        <f t="shared" ref="G12:G67" si="0">G11+E12-F12</f>
        <v>9914000</v>
      </c>
      <c r="H12" s="27"/>
    </row>
    <row r="13" spans="2:8" s="22" customFormat="1" ht="50.5" customHeight="1" x14ac:dyDescent="0.35">
      <c r="B13" s="16">
        <v>46224</v>
      </c>
      <c r="C13" s="23" t="s">
        <v>62</v>
      </c>
      <c r="D13" s="18"/>
      <c r="E13" s="25">
        <v>500000</v>
      </c>
      <c r="F13" s="26">
        <v>0</v>
      </c>
      <c r="G13" s="21">
        <f t="shared" si="0"/>
        <v>10414000</v>
      </c>
      <c r="H13" s="27"/>
    </row>
    <row r="14" spans="2:8" s="22" customFormat="1" ht="35.5" customHeight="1" x14ac:dyDescent="0.35">
      <c r="B14" s="16">
        <v>46225</v>
      </c>
      <c r="C14" s="32" t="s">
        <v>101</v>
      </c>
      <c r="D14" s="18"/>
      <c r="E14" s="25">
        <v>0</v>
      </c>
      <c r="F14" s="26">
        <v>1860000</v>
      </c>
      <c r="G14" s="21">
        <f t="shared" si="0"/>
        <v>8554000</v>
      </c>
      <c r="H14" s="27"/>
    </row>
    <row r="15" spans="2:8" s="22" customFormat="1" ht="50.5" customHeight="1" x14ac:dyDescent="0.35">
      <c r="B15" s="16">
        <v>46225</v>
      </c>
      <c r="C15" s="23" t="s">
        <v>63</v>
      </c>
      <c r="D15" s="18"/>
      <c r="E15" s="25">
        <v>150000</v>
      </c>
      <c r="F15" s="26">
        <v>0</v>
      </c>
      <c r="G15" s="21">
        <f t="shared" si="0"/>
        <v>8704000</v>
      </c>
      <c r="H15" s="27"/>
    </row>
    <row r="16" spans="2:8" s="22" customFormat="1" ht="46.5" customHeight="1" x14ac:dyDescent="0.35">
      <c r="B16" s="16">
        <v>46228</v>
      </c>
      <c r="C16" s="23" t="s">
        <v>53</v>
      </c>
      <c r="D16" s="18"/>
      <c r="E16" s="25">
        <f>1000000+750000</f>
        <v>1750000</v>
      </c>
      <c r="F16" s="26">
        <v>0</v>
      </c>
      <c r="G16" s="21">
        <f t="shared" si="0"/>
        <v>10454000</v>
      </c>
      <c r="H16" s="27"/>
    </row>
    <row r="17" spans="2:8" s="22" customFormat="1" ht="35.5" customHeight="1" x14ac:dyDescent="0.35">
      <c r="B17" s="16">
        <v>46229</v>
      </c>
      <c r="C17" s="23" t="s">
        <v>51</v>
      </c>
      <c r="D17" s="18"/>
      <c r="E17" s="25">
        <v>200000</v>
      </c>
      <c r="F17" s="26">
        <v>0</v>
      </c>
      <c r="G17" s="21">
        <f t="shared" si="0"/>
        <v>10654000</v>
      </c>
      <c r="H17" s="27"/>
    </row>
    <row r="18" spans="2:8" s="22" customFormat="1" ht="35.5" customHeight="1" x14ac:dyDescent="0.35">
      <c r="B18" s="16">
        <v>46229</v>
      </c>
      <c r="C18" s="23" t="s">
        <v>54</v>
      </c>
      <c r="D18" s="18"/>
      <c r="E18" s="25">
        <v>3000000</v>
      </c>
      <c r="F18" s="26">
        <v>0</v>
      </c>
      <c r="G18" s="21">
        <f t="shared" si="0"/>
        <v>13654000</v>
      </c>
      <c r="H18" s="27"/>
    </row>
    <row r="19" spans="2:8" s="22" customFormat="1" ht="35.5" customHeight="1" x14ac:dyDescent="0.35">
      <c r="B19" s="16">
        <v>46229</v>
      </c>
      <c r="C19" s="23" t="s">
        <v>52</v>
      </c>
      <c r="D19" s="18"/>
      <c r="E19" s="25">
        <f>500*7500</f>
        <v>3750000</v>
      </c>
      <c r="F19" s="26">
        <v>0</v>
      </c>
      <c r="G19" s="21">
        <f t="shared" si="0"/>
        <v>17404000</v>
      </c>
      <c r="H19" s="27"/>
    </row>
    <row r="20" spans="2:8" s="22" customFormat="1" ht="35.5" customHeight="1" x14ac:dyDescent="0.35">
      <c r="B20" s="16">
        <v>46230</v>
      </c>
      <c r="C20" s="32" t="s">
        <v>2</v>
      </c>
      <c r="D20" s="18"/>
      <c r="E20" s="25">
        <v>0</v>
      </c>
      <c r="F20" s="26">
        <v>2500000</v>
      </c>
      <c r="G20" s="21">
        <f t="shared" si="0"/>
        <v>14904000</v>
      </c>
      <c r="H20" s="27"/>
    </row>
    <row r="21" spans="2:8" s="22" customFormat="1" ht="35.5" customHeight="1" x14ac:dyDescent="0.35">
      <c r="B21" s="16">
        <v>46230</v>
      </c>
      <c r="C21" s="32" t="s">
        <v>14</v>
      </c>
      <c r="D21" s="18"/>
      <c r="E21" s="25">
        <v>0</v>
      </c>
      <c r="F21" s="26">
        <v>2250000</v>
      </c>
      <c r="G21" s="21">
        <f t="shared" si="0"/>
        <v>12654000</v>
      </c>
      <c r="H21" s="27"/>
    </row>
    <row r="22" spans="2:8" s="22" customFormat="1" ht="35.5" customHeight="1" x14ac:dyDescent="0.35">
      <c r="B22" s="16">
        <v>46230</v>
      </c>
      <c r="C22" s="32" t="s">
        <v>24</v>
      </c>
      <c r="D22" s="18"/>
      <c r="E22" s="25">
        <v>0</v>
      </c>
      <c r="F22" s="26">
        <v>100000</v>
      </c>
      <c r="G22" s="21">
        <f t="shared" si="0"/>
        <v>12554000</v>
      </c>
      <c r="H22" s="27"/>
    </row>
    <row r="23" spans="2:8" s="22" customFormat="1" ht="35.5" customHeight="1" x14ac:dyDescent="0.35">
      <c r="B23" s="16">
        <v>46230</v>
      </c>
      <c r="C23" s="32" t="s">
        <v>25</v>
      </c>
      <c r="D23" s="18"/>
      <c r="E23" s="25">
        <v>0</v>
      </c>
      <c r="F23" s="26">
        <v>450000</v>
      </c>
      <c r="G23" s="21">
        <f t="shared" si="0"/>
        <v>12104000</v>
      </c>
      <c r="H23" s="27"/>
    </row>
    <row r="24" spans="2:8" s="22" customFormat="1" ht="35.5" customHeight="1" x14ac:dyDescent="0.35">
      <c r="B24" s="16">
        <v>46230</v>
      </c>
      <c r="C24" s="32" t="s">
        <v>3</v>
      </c>
      <c r="D24" s="18"/>
      <c r="E24" s="25">
        <v>0</v>
      </c>
      <c r="F24" s="26">
        <v>2040000</v>
      </c>
      <c r="G24" s="21">
        <f t="shared" si="0"/>
        <v>10064000</v>
      </c>
      <c r="H24" s="27"/>
    </row>
    <row r="25" spans="2:8" s="22" customFormat="1" ht="35.5" customHeight="1" x14ac:dyDescent="0.35">
      <c r="B25" s="16">
        <v>46230</v>
      </c>
      <c r="C25" s="32" t="s">
        <v>97</v>
      </c>
      <c r="D25" s="18"/>
      <c r="E25" s="25">
        <v>0</v>
      </c>
      <c r="F25" s="26">
        <v>7314000</v>
      </c>
      <c r="G25" s="21">
        <f t="shared" si="0"/>
        <v>2750000</v>
      </c>
      <c r="H25" s="27"/>
    </row>
    <row r="26" spans="2:8" s="22" customFormat="1" ht="35.5" customHeight="1" x14ac:dyDescent="0.35">
      <c r="B26" s="16">
        <v>46230</v>
      </c>
      <c r="C26" s="32" t="s">
        <v>61</v>
      </c>
      <c r="D26" s="18"/>
      <c r="E26" s="25">
        <v>0</v>
      </c>
      <c r="F26" s="26">
        <v>300000</v>
      </c>
      <c r="G26" s="21">
        <f t="shared" si="0"/>
        <v>2450000</v>
      </c>
      <c r="H26" s="27"/>
    </row>
    <row r="27" spans="2:8" s="22" customFormat="1" ht="35.5" customHeight="1" x14ac:dyDescent="0.35">
      <c r="B27" s="16">
        <v>46230</v>
      </c>
      <c r="C27" s="32" t="s">
        <v>66</v>
      </c>
      <c r="D27" s="18"/>
      <c r="E27" s="25">
        <v>0</v>
      </c>
      <c r="F27" s="26">
        <v>900000</v>
      </c>
      <c r="G27" s="21">
        <f t="shared" si="0"/>
        <v>1550000</v>
      </c>
      <c r="H27" s="27"/>
    </row>
    <row r="28" spans="2:8" s="22" customFormat="1" ht="50.5" customHeight="1" x14ac:dyDescent="0.35">
      <c r="B28" s="16">
        <v>46230</v>
      </c>
      <c r="C28" s="23" t="s">
        <v>64</v>
      </c>
      <c r="D28" s="18"/>
      <c r="E28" s="25">
        <f>200*7500</f>
        <v>1500000</v>
      </c>
      <c r="F28" s="26">
        <v>0</v>
      </c>
      <c r="G28" s="21">
        <f t="shared" si="0"/>
        <v>3050000</v>
      </c>
      <c r="H28" s="27"/>
    </row>
    <row r="29" spans="2:8" s="22" customFormat="1" ht="50.5" customHeight="1" x14ac:dyDescent="0.35">
      <c r="B29" s="16">
        <v>46230</v>
      </c>
      <c r="C29" s="23" t="s">
        <v>65</v>
      </c>
      <c r="D29" s="18"/>
      <c r="E29" s="25">
        <v>0</v>
      </c>
      <c r="F29" s="26">
        <v>180000</v>
      </c>
      <c r="G29" s="21">
        <f t="shared" si="0"/>
        <v>2870000</v>
      </c>
      <c r="H29" s="27"/>
    </row>
    <row r="30" spans="2:8" s="22" customFormat="1" ht="35.5" customHeight="1" x14ac:dyDescent="0.35">
      <c r="B30" s="16">
        <v>46231</v>
      </c>
      <c r="C30" s="32" t="s">
        <v>32</v>
      </c>
      <c r="D30" s="18"/>
      <c r="E30" s="25">
        <v>0</v>
      </c>
      <c r="F30" s="26">
        <v>200000</v>
      </c>
      <c r="G30" s="21">
        <f t="shared" si="0"/>
        <v>2670000</v>
      </c>
      <c r="H30" s="27"/>
    </row>
    <row r="31" spans="2:8" s="22" customFormat="1" ht="35.5" customHeight="1" x14ac:dyDescent="0.35">
      <c r="B31" s="16">
        <v>46231</v>
      </c>
      <c r="C31" s="32" t="s">
        <v>15</v>
      </c>
      <c r="D31" s="18"/>
      <c r="E31" s="25">
        <v>0</v>
      </c>
      <c r="F31" s="26">
        <v>400000</v>
      </c>
      <c r="G31" s="21">
        <f t="shared" si="0"/>
        <v>2270000</v>
      </c>
      <c r="H31" s="27"/>
    </row>
    <row r="32" spans="2:8" s="22" customFormat="1" ht="35.5" customHeight="1" x14ac:dyDescent="0.35">
      <c r="B32" s="16">
        <v>46231</v>
      </c>
      <c r="C32" s="32" t="s">
        <v>18</v>
      </c>
      <c r="D32" s="18"/>
      <c r="E32" s="25">
        <v>0</v>
      </c>
      <c r="F32" s="26">
        <v>100000</v>
      </c>
      <c r="G32" s="21">
        <f t="shared" si="0"/>
        <v>2170000</v>
      </c>
      <c r="H32" s="27"/>
    </row>
    <row r="33" spans="2:9" s="22" customFormat="1" ht="35.5" customHeight="1" x14ac:dyDescent="0.35">
      <c r="B33" s="16">
        <v>46231</v>
      </c>
      <c r="C33" s="23" t="s">
        <v>55</v>
      </c>
      <c r="D33" s="18"/>
      <c r="E33" s="25">
        <v>1200000</v>
      </c>
      <c r="F33" s="26">
        <v>0</v>
      </c>
      <c r="G33" s="21">
        <f t="shared" si="0"/>
        <v>3370000</v>
      </c>
      <c r="H33" s="27"/>
    </row>
    <row r="34" spans="2:9" s="22" customFormat="1" ht="50.5" customHeight="1" x14ac:dyDescent="0.35">
      <c r="B34" s="16">
        <v>46231</v>
      </c>
      <c r="C34" s="23" t="s">
        <v>57</v>
      </c>
      <c r="D34" s="18"/>
      <c r="E34" s="25">
        <v>700000</v>
      </c>
      <c r="F34" s="26">
        <v>0</v>
      </c>
      <c r="G34" s="21">
        <f t="shared" si="0"/>
        <v>4070000</v>
      </c>
      <c r="H34" s="27"/>
    </row>
    <row r="35" spans="2:9" s="22" customFormat="1" ht="35.5" customHeight="1" x14ac:dyDescent="0.35">
      <c r="B35" s="16">
        <v>46231</v>
      </c>
      <c r="C35" s="32" t="s">
        <v>61</v>
      </c>
      <c r="D35" s="18"/>
      <c r="E35" s="25">
        <v>0</v>
      </c>
      <c r="F35" s="26">
        <v>500000</v>
      </c>
      <c r="G35" s="21">
        <f t="shared" si="0"/>
        <v>3570000</v>
      </c>
      <c r="H35" s="27"/>
      <c r="I35" s="49">
        <f>E34+E36+E38+E43</f>
        <v>4275000</v>
      </c>
    </row>
    <row r="36" spans="2:9" s="22" customFormat="1" ht="50.5" customHeight="1" x14ac:dyDescent="0.35">
      <c r="B36" s="16">
        <v>46232</v>
      </c>
      <c r="C36" s="23" t="s">
        <v>59</v>
      </c>
      <c r="D36" s="18"/>
      <c r="E36" s="25">
        <v>1000000</v>
      </c>
      <c r="F36" s="26">
        <v>0</v>
      </c>
      <c r="G36" s="21">
        <f t="shared" si="0"/>
        <v>4570000</v>
      </c>
      <c r="H36" s="27"/>
    </row>
    <row r="37" spans="2:9" s="22" customFormat="1" ht="50.5" customHeight="1" x14ac:dyDescent="0.35">
      <c r="B37" s="16">
        <v>46232</v>
      </c>
      <c r="C37" s="23" t="s">
        <v>58</v>
      </c>
      <c r="D37" s="18"/>
      <c r="E37" s="25">
        <v>1000000</v>
      </c>
      <c r="F37" s="26">
        <v>0</v>
      </c>
      <c r="G37" s="21">
        <f t="shared" si="0"/>
        <v>5570000</v>
      </c>
      <c r="H37" s="27"/>
      <c r="I37" s="22">
        <f>I35/7500</f>
        <v>570</v>
      </c>
    </row>
    <row r="38" spans="2:9" s="22" customFormat="1" ht="35.5" customHeight="1" x14ac:dyDescent="0.35">
      <c r="B38" s="16">
        <v>46232</v>
      </c>
      <c r="C38" s="23" t="s">
        <v>56</v>
      </c>
      <c r="D38" s="18"/>
      <c r="E38" s="25">
        <v>500000</v>
      </c>
      <c r="F38" s="26">
        <v>0</v>
      </c>
      <c r="G38" s="21">
        <f t="shared" si="0"/>
        <v>6070000</v>
      </c>
      <c r="H38" s="27"/>
      <c r="I38" s="22">
        <f>600*7500</f>
        <v>4500000</v>
      </c>
    </row>
    <row r="39" spans="2:9" s="22" customFormat="1" ht="35.5" customHeight="1" x14ac:dyDescent="0.35">
      <c r="B39" s="16">
        <v>46232</v>
      </c>
      <c r="C39" s="32" t="s">
        <v>61</v>
      </c>
      <c r="D39" s="18"/>
      <c r="E39" s="25">
        <v>0</v>
      </c>
      <c r="F39" s="26">
        <f>400000+100000</f>
        <v>500000</v>
      </c>
      <c r="G39" s="21">
        <f t="shared" si="0"/>
        <v>5570000</v>
      </c>
      <c r="H39" s="27"/>
    </row>
    <row r="40" spans="2:9" s="22" customFormat="1" ht="50.5" customHeight="1" x14ac:dyDescent="0.35">
      <c r="B40" s="16">
        <v>46233</v>
      </c>
      <c r="C40" s="23" t="s">
        <v>96</v>
      </c>
      <c r="D40" s="18"/>
      <c r="E40" s="25">
        <v>0</v>
      </c>
      <c r="F40" s="26">
        <v>1550000</v>
      </c>
      <c r="G40" s="21">
        <f t="shared" si="0"/>
        <v>4020000</v>
      </c>
      <c r="H40" s="27"/>
    </row>
    <row r="41" spans="2:9" s="22" customFormat="1" ht="50.5" customHeight="1" x14ac:dyDescent="0.35">
      <c r="B41" s="16">
        <v>46234</v>
      </c>
      <c r="C41" s="23" t="s">
        <v>100</v>
      </c>
      <c r="D41" s="18"/>
      <c r="E41" s="25">
        <v>1000000</v>
      </c>
      <c r="F41" s="26">
        <v>0</v>
      </c>
      <c r="G41" s="21">
        <f t="shared" si="0"/>
        <v>5020000</v>
      </c>
      <c r="H41" s="27"/>
    </row>
    <row r="42" spans="2:9" s="22" customFormat="1" ht="50.5" customHeight="1" x14ac:dyDescent="0.35">
      <c r="B42" s="16">
        <v>46234</v>
      </c>
      <c r="C42" s="23" t="s">
        <v>103</v>
      </c>
      <c r="D42" s="18"/>
      <c r="E42" s="25">
        <v>350000</v>
      </c>
      <c r="F42" s="26">
        <v>0</v>
      </c>
      <c r="G42" s="21">
        <f t="shared" si="0"/>
        <v>5370000</v>
      </c>
      <c r="H42" s="27"/>
    </row>
    <row r="43" spans="2:9" s="22" customFormat="1" ht="50.5" customHeight="1" x14ac:dyDescent="0.35">
      <c r="B43" s="16">
        <v>46234</v>
      </c>
      <c r="C43" s="23" t="s">
        <v>104</v>
      </c>
      <c r="D43" s="18"/>
      <c r="E43" s="25">
        <f>1875000+200000</f>
        <v>2075000</v>
      </c>
      <c r="F43" s="26">
        <v>0</v>
      </c>
      <c r="G43" s="21">
        <f t="shared" si="0"/>
        <v>7445000</v>
      </c>
      <c r="H43" s="27"/>
    </row>
    <row r="44" spans="2:9" s="22" customFormat="1" ht="50.5" customHeight="1" x14ac:dyDescent="0.35">
      <c r="B44" s="16">
        <v>46234</v>
      </c>
      <c r="C44" s="23" t="s">
        <v>105</v>
      </c>
      <c r="D44" s="18"/>
      <c r="E44" s="25">
        <v>0</v>
      </c>
      <c r="F44" s="26">
        <f>700000+300000+100000+600000+100000</f>
        <v>1800000</v>
      </c>
      <c r="G44" s="21">
        <f t="shared" si="0"/>
        <v>5645000</v>
      </c>
      <c r="H44" s="27"/>
    </row>
    <row r="45" spans="2:9" s="22" customFormat="1" ht="50.5" customHeight="1" x14ac:dyDescent="0.35">
      <c r="B45" s="16">
        <v>46235</v>
      </c>
      <c r="C45" s="23" t="s">
        <v>106</v>
      </c>
      <c r="D45" s="18"/>
      <c r="E45" s="25">
        <v>0</v>
      </c>
      <c r="F45" s="26">
        <v>1500000</v>
      </c>
      <c r="G45" s="21">
        <f t="shared" si="0"/>
        <v>4145000</v>
      </c>
      <c r="H45" s="27"/>
    </row>
    <row r="46" spans="2:9" s="22" customFormat="1" ht="50.5" customHeight="1" x14ac:dyDescent="0.35">
      <c r="B46" s="16">
        <v>46235</v>
      </c>
      <c r="C46" s="23" t="s">
        <v>107</v>
      </c>
      <c r="D46" s="18"/>
      <c r="E46" s="25">
        <v>0</v>
      </c>
      <c r="F46" s="26">
        <v>500000</v>
      </c>
      <c r="G46" s="21">
        <f t="shared" si="0"/>
        <v>3645000</v>
      </c>
      <c r="H46" s="27"/>
    </row>
    <row r="47" spans="2:9" s="22" customFormat="1" ht="50.5" customHeight="1" x14ac:dyDescent="0.35">
      <c r="B47" s="16">
        <v>46235</v>
      </c>
      <c r="C47" s="23" t="s">
        <v>108</v>
      </c>
      <c r="D47" s="18"/>
      <c r="E47" s="25">
        <v>0</v>
      </c>
      <c r="F47" s="26">
        <v>200000</v>
      </c>
      <c r="G47" s="21">
        <f t="shared" si="0"/>
        <v>3445000</v>
      </c>
      <c r="H47" s="27"/>
    </row>
    <row r="48" spans="2:9" s="22" customFormat="1" ht="50.5" customHeight="1" x14ac:dyDescent="0.35">
      <c r="B48" s="16">
        <v>46235</v>
      </c>
      <c r="C48" s="23" t="s">
        <v>109</v>
      </c>
      <c r="D48" s="18"/>
      <c r="E48" s="25">
        <v>10500</v>
      </c>
      <c r="F48" s="26">
        <v>0</v>
      </c>
      <c r="G48" s="21">
        <f t="shared" si="0"/>
        <v>3455500</v>
      </c>
      <c r="H48" s="27"/>
    </row>
    <row r="49" spans="2:11" s="22" customFormat="1" ht="50.5" customHeight="1" x14ac:dyDescent="0.35">
      <c r="B49" s="16">
        <v>46235</v>
      </c>
      <c r="C49" s="23" t="s">
        <v>110</v>
      </c>
      <c r="D49" s="18"/>
      <c r="E49" s="25">
        <v>0</v>
      </c>
      <c r="F49" s="26">
        <v>400000</v>
      </c>
      <c r="G49" s="21">
        <f t="shared" si="0"/>
        <v>3055500</v>
      </c>
      <c r="H49" s="27"/>
      <c r="J49" s="22">
        <v>400</v>
      </c>
      <c r="K49" s="22">
        <v>7500</v>
      </c>
    </row>
    <row r="50" spans="2:11" s="22" customFormat="1" ht="50.5" customHeight="1" x14ac:dyDescent="0.35">
      <c r="B50" s="16">
        <v>46235</v>
      </c>
      <c r="C50" s="23" t="s">
        <v>111</v>
      </c>
      <c r="D50" s="18"/>
      <c r="E50" s="25">
        <v>0</v>
      </c>
      <c r="F50" s="26">
        <f>200000+550000+100000</f>
        <v>850000</v>
      </c>
      <c r="G50" s="21">
        <f t="shared" si="0"/>
        <v>2205500</v>
      </c>
      <c r="H50" s="27"/>
      <c r="J50" s="22">
        <f>J49*K49</f>
        <v>3000000</v>
      </c>
    </row>
    <row r="51" spans="2:11" s="22" customFormat="1" ht="50.5" customHeight="1" x14ac:dyDescent="0.35">
      <c r="B51" s="16">
        <v>46235</v>
      </c>
      <c r="C51" s="23" t="s">
        <v>117</v>
      </c>
      <c r="D51" s="18"/>
      <c r="E51" s="25">
        <v>0</v>
      </c>
      <c r="F51" s="26">
        <v>350000</v>
      </c>
      <c r="G51" s="21">
        <f t="shared" si="0"/>
        <v>1855500</v>
      </c>
      <c r="H51" s="27"/>
    </row>
    <row r="52" spans="2:11" s="22" customFormat="1" ht="50.5" customHeight="1" x14ac:dyDescent="0.35">
      <c r="B52" s="16">
        <v>46235</v>
      </c>
      <c r="C52" s="23" t="s">
        <v>118</v>
      </c>
      <c r="D52" s="18"/>
      <c r="E52" s="25">
        <v>0</v>
      </c>
      <c r="F52" s="26">
        <v>400000</v>
      </c>
      <c r="G52" s="21">
        <f t="shared" si="0"/>
        <v>1455500</v>
      </c>
      <c r="H52" s="27"/>
    </row>
    <row r="53" spans="2:11" s="22" customFormat="1" ht="50.5" customHeight="1" x14ac:dyDescent="0.35">
      <c r="B53" s="16">
        <v>46235</v>
      </c>
      <c r="C53" s="23" t="s">
        <v>119</v>
      </c>
      <c r="D53" s="18"/>
      <c r="E53" s="25">
        <v>0</v>
      </c>
      <c r="F53" s="26">
        <v>900000</v>
      </c>
      <c r="G53" s="21">
        <f t="shared" si="0"/>
        <v>555500</v>
      </c>
      <c r="H53" s="27"/>
    </row>
    <row r="54" spans="2:11" s="22" customFormat="1" ht="50.5" customHeight="1" x14ac:dyDescent="0.35">
      <c r="B54" s="16"/>
      <c r="C54" s="23"/>
      <c r="D54" s="18"/>
      <c r="E54" s="25">
        <v>0</v>
      </c>
      <c r="F54" s="26">
        <v>0</v>
      </c>
      <c r="G54" s="21">
        <f t="shared" si="0"/>
        <v>555500</v>
      </c>
      <c r="H54" s="27"/>
    </row>
    <row r="55" spans="2:11" s="22" customFormat="1" ht="50.5" customHeight="1" x14ac:dyDescent="0.35">
      <c r="B55" s="16"/>
      <c r="C55" s="23"/>
      <c r="D55" s="18"/>
      <c r="E55" s="25">
        <v>0</v>
      </c>
      <c r="F55" s="26">
        <v>0</v>
      </c>
      <c r="G55" s="21">
        <f t="shared" si="0"/>
        <v>555500</v>
      </c>
      <c r="H55" s="27"/>
    </row>
    <row r="56" spans="2:11" s="22" customFormat="1" ht="50.5" customHeight="1" x14ac:dyDescent="0.35">
      <c r="B56" s="16"/>
      <c r="C56" s="23"/>
      <c r="D56" s="18"/>
      <c r="E56" s="25">
        <v>0</v>
      </c>
      <c r="F56" s="26">
        <v>0</v>
      </c>
      <c r="G56" s="21">
        <f t="shared" si="0"/>
        <v>555500</v>
      </c>
      <c r="H56" s="27"/>
    </row>
    <row r="57" spans="2:11" s="22" customFormat="1" ht="50.5" customHeight="1" x14ac:dyDescent="0.35">
      <c r="B57" s="16"/>
      <c r="C57" s="23"/>
      <c r="D57" s="18"/>
      <c r="E57" s="25">
        <v>0</v>
      </c>
      <c r="F57" s="26">
        <v>0</v>
      </c>
      <c r="G57" s="21">
        <f t="shared" si="0"/>
        <v>555500</v>
      </c>
      <c r="H57" s="27"/>
    </row>
    <row r="58" spans="2:11" s="22" customFormat="1" ht="50.5" customHeight="1" x14ac:dyDescent="0.35">
      <c r="B58" s="16"/>
      <c r="C58" s="23"/>
      <c r="D58" s="18"/>
      <c r="E58" s="25">
        <v>0</v>
      </c>
      <c r="F58" s="26">
        <v>0</v>
      </c>
      <c r="G58" s="21">
        <f t="shared" si="0"/>
        <v>555500</v>
      </c>
      <c r="H58" s="27"/>
    </row>
    <row r="59" spans="2:11" s="22" customFormat="1" ht="50.5" customHeight="1" x14ac:dyDescent="0.35">
      <c r="B59" s="16"/>
      <c r="C59" s="23"/>
      <c r="D59" s="18"/>
      <c r="E59" s="25">
        <v>0</v>
      </c>
      <c r="F59" s="26">
        <v>0</v>
      </c>
      <c r="G59" s="21">
        <f t="shared" si="0"/>
        <v>555500</v>
      </c>
      <c r="H59" s="27"/>
    </row>
    <row r="60" spans="2:11" s="22" customFormat="1" ht="50.5" customHeight="1" x14ac:dyDescent="0.35">
      <c r="B60" s="16"/>
      <c r="C60" s="23"/>
      <c r="D60" s="18"/>
      <c r="E60" s="25">
        <v>0</v>
      </c>
      <c r="F60" s="26">
        <v>0</v>
      </c>
      <c r="G60" s="21">
        <f t="shared" si="0"/>
        <v>555500</v>
      </c>
      <c r="H60" s="27"/>
    </row>
    <row r="61" spans="2:11" s="22" customFormat="1" ht="50.5" customHeight="1" x14ac:dyDescent="0.35">
      <c r="B61" s="16"/>
      <c r="C61" s="23"/>
      <c r="D61" s="18"/>
      <c r="E61" s="25">
        <v>0</v>
      </c>
      <c r="F61" s="26">
        <v>0</v>
      </c>
      <c r="G61" s="21">
        <f t="shared" si="0"/>
        <v>555500</v>
      </c>
      <c r="H61" s="27"/>
    </row>
    <row r="62" spans="2:11" s="22" customFormat="1" ht="50.5" customHeight="1" x14ac:dyDescent="0.35">
      <c r="B62" s="16"/>
      <c r="C62" s="23"/>
      <c r="D62" s="18"/>
      <c r="E62" s="25">
        <v>0</v>
      </c>
      <c r="F62" s="26">
        <v>0</v>
      </c>
      <c r="G62" s="21">
        <f t="shared" si="0"/>
        <v>555500</v>
      </c>
      <c r="H62" s="27"/>
    </row>
    <row r="63" spans="2:11" s="22" customFormat="1" ht="50.5" customHeight="1" x14ac:dyDescent="0.35">
      <c r="B63" s="16"/>
      <c r="C63" s="23"/>
      <c r="D63" s="18"/>
      <c r="E63" s="25">
        <v>0</v>
      </c>
      <c r="F63" s="26">
        <v>0</v>
      </c>
      <c r="G63" s="21">
        <f t="shared" si="0"/>
        <v>555500</v>
      </c>
      <c r="H63" s="27"/>
    </row>
    <row r="64" spans="2:11" s="22" customFormat="1" ht="50.5" customHeight="1" x14ac:dyDescent="0.35">
      <c r="B64" s="16"/>
      <c r="C64" s="23"/>
      <c r="D64" s="18"/>
      <c r="E64" s="25">
        <v>0</v>
      </c>
      <c r="F64" s="26">
        <v>0</v>
      </c>
      <c r="G64" s="21">
        <f t="shared" si="0"/>
        <v>555500</v>
      </c>
      <c r="H64" s="27"/>
    </row>
    <row r="65" spans="2:9" s="22" customFormat="1" ht="50.5" customHeight="1" x14ac:dyDescent="0.35">
      <c r="B65" s="16"/>
      <c r="C65" s="23"/>
      <c r="D65" s="18"/>
      <c r="E65" s="25">
        <v>0</v>
      </c>
      <c r="F65" s="26">
        <v>0</v>
      </c>
      <c r="G65" s="21">
        <f t="shared" si="0"/>
        <v>555500</v>
      </c>
      <c r="H65" s="27"/>
    </row>
    <row r="66" spans="2:9" s="22" customFormat="1" ht="50.5" customHeight="1" x14ac:dyDescent="0.35">
      <c r="B66" s="16"/>
      <c r="C66" s="23"/>
      <c r="D66" s="18"/>
      <c r="E66" s="25">
        <v>0</v>
      </c>
      <c r="F66" s="26">
        <v>0</v>
      </c>
      <c r="G66" s="21">
        <f t="shared" si="0"/>
        <v>555500</v>
      </c>
      <c r="H66" s="27"/>
    </row>
    <row r="67" spans="2:9" s="22" customFormat="1" ht="50.5" customHeight="1" x14ac:dyDescent="0.35">
      <c r="B67" s="16"/>
      <c r="C67" s="23"/>
      <c r="D67" s="18"/>
      <c r="E67" s="25">
        <v>0</v>
      </c>
      <c r="F67" s="26">
        <v>0</v>
      </c>
      <c r="G67" s="21">
        <f t="shared" si="0"/>
        <v>555500</v>
      </c>
      <c r="H67" s="27"/>
    </row>
    <row r="68" spans="2:9" s="22" customFormat="1" ht="30" customHeight="1" x14ac:dyDescent="0.35">
      <c r="B68" s="16"/>
      <c r="C68" s="28" t="s">
        <v>116</v>
      </c>
      <c r="D68" s="29"/>
      <c r="E68" s="25">
        <f>SUM(E11:E67)</f>
        <v>28599500</v>
      </c>
      <c r="F68" s="26">
        <f>SUM(F11:F67)</f>
        <v>28044000</v>
      </c>
      <c r="G68" s="21">
        <f>G67</f>
        <v>555500</v>
      </c>
      <c r="H68" s="48">
        <f>G68/7500</f>
        <v>74.066666666666663</v>
      </c>
      <c r="I68" s="27">
        <f>'CashBook -USD'!H45</f>
        <v>1200</v>
      </c>
    </row>
    <row r="69" spans="2:9" ht="27.75" customHeight="1" x14ac:dyDescent="0.5">
      <c r="E69" s="55" t="s">
        <v>99</v>
      </c>
      <c r="F69" s="55"/>
      <c r="G69" s="43">
        <f>G67</f>
        <v>555500</v>
      </c>
      <c r="H69" s="33" t="s">
        <v>28</v>
      </c>
      <c r="I69" s="50">
        <f>H68+I68</f>
        <v>1274.0666666666666</v>
      </c>
    </row>
    <row r="70" spans="2:9" ht="27.75" customHeight="1" x14ac:dyDescent="0.5">
      <c r="E70" s="56" t="s">
        <v>98</v>
      </c>
      <c r="F70" s="56"/>
      <c r="G70" s="43">
        <f>G68-G69</f>
        <v>0</v>
      </c>
      <c r="H70" s="33" t="s">
        <v>28</v>
      </c>
    </row>
    <row r="71" spans="2:9" x14ac:dyDescent="0.35">
      <c r="B71" s="11"/>
      <c r="D71" s="11"/>
    </row>
    <row r="72" spans="2:9" x14ac:dyDescent="0.35">
      <c r="B72" s="11"/>
      <c r="D72" s="11"/>
    </row>
    <row r="73" spans="2:9" x14ac:dyDescent="0.35">
      <c r="B73" s="11"/>
      <c r="D73" s="11"/>
    </row>
    <row r="74" spans="2:9" x14ac:dyDescent="0.35">
      <c r="B74" s="11"/>
      <c r="D74" s="11"/>
    </row>
    <row r="75" spans="2:9" x14ac:dyDescent="0.35">
      <c r="B75" s="11"/>
      <c r="D75" s="11"/>
    </row>
    <row r="76" spans="2:9" x14ac:dyDescent="0.35">
      <c r="B76" s="11"/>
      <c r="D76" s="11"/>
    </row>
    <row r="77" spans="2:9" x14ac:dyDescent="0.35">
      <c r="B77" s="11"/>
      <c r="D77" s="11"/>
    </row>
    <row r="78" spans="2:9" x14ac:dyDescent="0.35">
      <c r="B78" s="11"/>
      <c r="D78" s="11"/>
    </row>
    <row r="79" spans="2:9" x14ac:dyDescent="0.35">
      <c r="B79" s="11"/>
      <c r="D79" s="11"/>
    </row>
    <row r="80" spans="2:9" x14ac:dyDescent="0.35">
      <c r="B80" s="11"/>
      <c r="D80" s="11"/>
    </row>
  </sheetData>
  <mergeCells count="5">
    <mergeCell ref="B6:G6"/>
    <mergeCell ref="B7:G7"/>
    <mergeCell ref="B8:G8"/>
    <mergeCell ref="E69:F69"/>
    <mergeCell ref="E70:F70"/>
  </mergeCells>
  <pageMargins left="0.7" right="0.7" top="0.75" bottom="0.75" header="0.3" footer="0.3"/>
  <pageSetup scale="7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12DAF-B137-4E8C-8705-431444BBF333}">
  <sheetPr>
    <pageSetUpPr fitToPage="1"/>
  </sheetPr>
  <dimension ref="B6:I56"/>
  <sheetViews>
    <sheetView topLeftCell="C42" zoomScale="104" zoomScaleNormal="104" workbookViewId="0">
      <selection activeCell="F51" sqref="F51"/>
    </sheetView>
  </sheetViews>
  <sheetFormatPr defaultColWidth="8.81640625" defaultRowHeight="15.5" x14ac:dyDescent="0.35"/>
  <cols>
    <col min="1" max="1" width="4.453125" style="11" customWidth="1"/>
    <col min="2" max="2" width="12.54296875" style="13" customWidth="1"/>
    <col min="3" max="3" width="85.453125" style="11" customWidth="1"/>
    <col min="4" max="4" width="0.1796875" style="31" customWidth="1"/>
    <col min="5" max="5" width="23.54296875" style="31" customWidth="1"/>
    <col min="6" max="6" width="13.54296875" style="11" customWidth="1"/>
    <col min="7" max="7" width="16.453125" style="11" customWidth="1"/>
    <col min="8" max="8" width="15.1796875" style="11" customWidth="1"/>
    <col min="9" max="9" width="14.54296875" style="11" customWidth="1"/>
    <col min="10" max="10" width="10" style="11" bestFit="1" customWidth="1"/>
    <col min="11" max="11" width="13" style="11" customWidth="1"/>
    <col min="12" max="16384" width="8.81640625" style="11"/>
  </cols>
  <sheetData>
    <row r="6" spans="2:9" ht="15.65" customHeight="1" x14ac:dyDescent="0.35">
      <c r="B6" s="52" t="s">
        <v>42</v>
      </c>
      <c r="C6" s="53"/>
      <c r="D6" s="53"/>
      <c r="E6" s="53"/>
      <c r="F6" s="53"/>
      <c r="G6" s="53"/>
      <c r="H6" s="54"/>
    </row>
    <row r="7" spans="2:9" x14ac:dyDescent="0.35">
      <c r="B7" s="52" t="s">
        <v>43</v>
      </c>
      <c r="C7" s="53"/>
      <c r="D7" s="53"/>
      <c r="E7" s="53"/>
      <c r="F7" s="53"/>
      <c r="G7" s="53"/>
      <c r="H7" s="54"/>
    </row>
    <row r="8" spans="2:9" x14ac:dyDescent="0.35">
      <c r="B8" s="52" t="s">
        <v>69</v>
      </c>
      <c r="C8" s="53"/>
      <c r="D8" s="53"/>
      <c r="E8" s="53"/>
      <c r="F8" s="53"/>
      <c r="G8" s="53"/>
      <c r="H8" s="54"/>
    </row>
    <row r="9" spans="2:9" s="13" customFormat="1" ht="22.4" customHeight="1" x14ac:dyDescent="0.35">
      <c r="B9" s="12" t="s">
        <v>45</v>
      </c>
      <c r="C9" s="12" t="s">
        <v>46</v>
      </c>
      <c r="D9" s="12" t="s">
        <v>47</v>
      </c>
      <c r="E9" s="12" t="s">
        <v>48</v>
      </c>
      <c r="F9" s="12" t="s">
        <v>49</v>
      </c>
      <c r="G9" s="12" t="s">
        <v>41</v>
      </c>
      <c r="H9" s="12" t="s">
        <v>30</v>
      </c>
    </row>
    <row r="10" spans="2:9" x14ac:dyDescent="0.35">
      <c r="B10" s="14"/>
      <c r="C10" s="14"/>
      <c r="D10" s="14"/>
      <c r="E10" s="14"/>
      <c r="F10" s="14"/>
      <c r="G10" s="14"/>
      <c r="H10" s="15">
        <v>0</v>
      </c>
    </row>
    <row r="11" spans="2:9" s="22" customFormat="1" ht="18" customHeight="1" x14ac:dyDescent="0.35">
      <c r="B11" s="16">
        <v>46223</v>
      </c>
      <c r="C11" s="17" t="s">
        <v>50</v>
      </c>
      <c r="D11" s="18"/>
      <c r="E11" s="19"/>
      <c r="F11" s="20">
        <v>200</v>
      </c>
      <c r="G11" s="21">
        <v>0</v>
      </c>
      <c r="H11" s="21">
        <f>+H10+F11-G11</f>
        <v>200</v>
      </c>
    </row>
    <row r="12" spans="2:9" s="22" customFormat="1" ht="35.5" customHeight="1" x14ac:dyDescent="0.35">
      <c r="B12" s="16">
        <v>45474</v>
      </c>
      <c r="C12" s="23" t="s">
        <v>70</v>
      </c>
      <c r="D12" s="18"/>
      <c r="E12" s="24"/>
      <c r="F12" s="25">
        <v>1600</v>
      </c>
      <c r="G12" s="26">
        <v>0</v>
      </c>
      <c r="H12" s="21">
        <f t="shared" ref="H12:H43" si="0">+H11+F12-G12</f>
        <v>1800</v>
      </c>
      <c r="I12" s="27"/>
    </row>
    <row r="13" spans="2:9" s="22" customFormat="1" ht="35.5" customHeight="1" x14ac:dyDescent="0.35">
      <c r="B13" s="16">
        <v>45474</v>
      </c>
      <c r="C13" s="23" t="s">
        <v>52</v>
      </c>
      <c r="D13" s="18"/>
      <c r="E13" s="24"/>
      <c r="F13" s="25">
        <v>500</v>
      </c>
      <c r="G13" s="26">
        <v>0</v>
      </c>
      <c r="H13" s="21">
        <f t="shared" si="0"/>
        <v>2300</v>
      </c>
      <c r="I13" s="27"/>
    </row>
    <row r="14" spans="2:9" s="22" customFormat="1" ht="46.5" customHeight="1" x14ac:dyDescent="0.35">
      <c r="B14" s="16">
        <v>45484</v>
      </c>
      <c r="C14" s="23" t="s">
        <v>53</v>
      </c>
      <c r="D14" s="18"/>
      <c r="E14" s="24"/>
      <c r="F14" s="25">
        <v>100</v>
      </c>
      <c r="G14" s="26">
        <v>0</v>
      </c>
      <c r="H14" s="21">
        <f t="shared" si="0"/>
        <v>2400</v>
      </c>
      <c r="I14" s="27"/>
    </row>
    <row r="15" spans="2:9" s="22" customFormat="1" ht="35.5" customHeight="1" x14ac:dyDescent="0.35">
      <c r="B15" s="16">
        <v>45489</v>
      </c>
      <c r="C15" s="23" t="s">
        <v>71</v>
      </c>
      <c r="D15" s="18"/>
      <c r="E15" s="24"/>
      <c r="F15" s="25">
        <v>0</v>
      </c>
      <c r="G15" s="26">
        <v>100</v>
      </c>
      <c r="H15" s="21">
        <f t="shared" si="0"/>
        <v>2300</v>
      </c>
      <c r="I15" s="27"/>
    </row>
    <row r="16" spans="2:9" s="22" customFormat="1" ht="35.5" customHeight="1" x14ac:dyDescent="0.35">
      <c r="B16" s="16"/>
      <c r="C16" s="23" t="s">
        <v>72</v>
      </c>
      <c r="D16" s="18"/>
      <c r="E16" s="24"/>
      <c r="F16" s="25">
        <v>0</v>
      </c>
      <c r="G16" s="26">
        <v>500</v>
      </c>
      <c r="H16" s="21">
        <f t="shared" si="0"/>
        <v>1800</v>
      </c>
      <c r="I16" s="27"/>
    </row>
    <row r="17" spans="2:9" s="22" customFormat="1" ht="35.5" customHeight="1" x14ac:dyDescent="0.35">
      <c r="B17" s="16"/>
      <c r="C17" s="23" t="s">
        <v>73</v>
      </c>
      <c r="D17" s="18"/>
      <c r="E17" s="24"/>
      <c r="F17" s="25">
        <v>0</v>
      </c>
      <c r="G17" s="26">
        <v>200</v>
      </c>
      <c r="H17" s="21">
        <f t="shared" si="0"/>
        <v>1600</v>
      </c>
      <c r="I17" s="27"/>
    </row>
    <row r="18" spans="2:9" s="22" customFormat="1" ht="35.5" customHeight="1" x14ac:dyDescent="0.35">
      <c r="B18" s="16"/>
      <c r="C18" s="23" t="s">
        <v>74</v>
      </c>
      <c r="D18" s="18"/>
      <c r="E18" s="24"/>
      <c r="F18" s="25">
        <v>1000</v>
      </c>
      <c r="G18" s="26">
        <v>0</v>
      </c>
      <c r="H18" s="21">
        <f t="shared" si="0"/>
        <v>2600</v>
      </c>
      <c r="I18" s="27"/>
    </row>
    <row r="19" spans="2:9" s="22" customFormat="1" ht="35.5" customHeight="1" x14ac:dyDescent="0.35">
      <c r="B19" s="16"/>
      <c r="C19" s="23" t="s">
        <v>75</v>
      </c>
      <c r="D19" s="18"/>
      <c r="E19" s="24"/>
      <c r="F19" s="25">
        <v>0</v>
      </c>
      <c r="G19" s="26">
        <v>1000</v>
      </c>
      <c r="H19" s="21">
        <f t="shared" si="0"/>
        <v>1600</v>
      </c>
      <c r="I19" s="27"/>
    </row>
    <row r="20" spans="2:9" s="22" customFormat="1" ht="35.5" customHeight="1" x14ac:dyDescent="0.35">
      <c r="B20" s="16"/>
      <c r="C20" s="23" t="s">
        <v>76</v>
      </c>
      <c r="D20" s="18"/>
      <c r="E20" s="24"/>
      <c r="F20" s="25">
        <v>0</v>
      </c>
      <c r="G20" s="26">
        <v>200</v>
      </c>
      <c r="H20" s="21">
        <f t="shared" si="0"/>
        <v>1400</v>
      </c>
      <c r="I20" s="27"/>
    </row>
    <row r="21" spans="2:9" s="22" customFormat="1" ht="35.5" customHeight="1" x14ac:dyDescent="0.35">
      <c r="B21" s="16">
        <v>46233</v>
      </c>
      <c r="C21" s="32" t="s">
        <v>102</v>
      </c>
      <c r="D21" s="18"/>
      <c r="E21" s="24"/>
      <c r="F21" s="25">
        <v>100</v>
      </c>
      <c r="G21" s="26">
        <v>0</v>
      </c>
      <c r="H21" s="21">
        <f t="shared" si="0"/>
        <v>1500</v>
      </c>
      <c r="I21" s="27"/>
    </row>
    <row r="22" spans="2:9" s="22" customFormat="1" ht="35.5" customHeight="1" x14ac:dyDescent="0.35">
      <c r="B22" s="16"/>
      <c r="C22" s="23" t="s">
        <v>112</v>
      </c>
      <c r="D22" s="18"/>
      <c r="E22" s="24"/>
      <c r="F22" s="25">
        <v>300</v>
      </c>
      <c r="G22" s="26">
        <v>0</v>
      </c>
      <c r="H22" s="21">
        <f t="shared" si="0"/>
        <v>1800</v>
      </c>
      <c r="I22" s="27"/>
    </row>
    <row r="23" spans="2:9" s="22" customFormat="1" ht="35.5" customHeight="1" x14ac:dyDescent="0.35">
      <c r="B23" s="16"/>
      <c r="C23" s="23" t="s">
        <v>114</v>
      </c>
      <c r="D23" s="18"/>
      <c r="E23" s="24"/>
      <c r="F23" s="25">
        <v>0</v>
      </c>
      <c r="G23" s="26">
        <f>200+100</f>
        <v>300</v>
      </c>
      <c r="H23" s="21">
        <f t="shared" si="0"/>
        <v>1500</v>
      </c>
      <c r="I23" s="27"/>
    </row>
    <row r="24" spans="2:9" s="22" customFormat="1" ht="35.5" customHeight="1" x14ac:dyDescent="0.35">
      <c r="B24" s="16"/>
      <c r="C24" s="32" t="s">
        <v>113</v>
      </c>
      <c r="D24" s="18"/>
      <c r="E24" s="24"/>
      <c r="F24" s="25">
        <v>0</v>
      </c>
      <c r="G24" s="26">
        <v>300</v>
      </c>
      <c r="H24" s="21">
        <f t="shared" si="0"/>
        <v>1200</v>
      </c>
      <c r="I24" s="27"/>
    </row>
    <row r="25" spans="2:9" s="22" customFormat="1" ht="35.5" customHeight="1" x14ac:dyDescent="0.35">
      <c r="B25" s="16"/>
      <c r="C25" s="32"/>
      <c r="D25" s="18"/>
      <c r="E25" s="24"/>
      <c r="F25" s="25">
        <v>0</v>
      </c>
      <c r="G25" s="26">
        <v>0</v>
      </c>
      <c r="H25" s="21">
        <f t="shared" si="0"/>
        <v>1200</v>
      </c>
      <c r="I25" s="27"/>
    </row>
    <row r="26" spans="2:9" s="22" customFormat="1" ht="35.5" customHeight="1" x14ac:dyDescent="0.35">
      <c r="B26" s="16"/>
      <c r="C26" s="32"/>
      <c r="D26" s="18"/>
      <c r="E26" s="24"/>
      <c r="F26" s="25">
        <v>0</v>
      </c>
      <c r="G26" s="26">
        <v>0</v>
      </c>
      <c r="H26" s="21">
        <f t="shared" si="0"/>
        <v>1200</v>
      </c>
      <c r="I26" s="27"/>
    </row>
    <row r="27" spans="2:9" s="22" customFormat="1" ht="35.5" customHeight="1" x14ac:dyDescent="0.35">
      <c r="B27" s="16"/>
      <c r="C27" s="32"/>
      <c r="D27" s="18"/>
      <c r="E27" s="24"/>
      <c r="F27" s="25">
        <v>0</v>
      </c>
      <c r="G27" s="26">
        <v>0</v>
      </c>
      <c r="H27" s="21">
        <f t="shared" si="0"/>
        <v>1200</v>
      </c>
      <c r="I27" s="27"/>
    </row>
    <row r="28" spans="2:9" s="22" customFormat="1" ht="35.5" customHeight="1" x14ac:dyDescent="0.35">
      <c r="B28" s="16"/>
      <c r="C28" s="32"/>
      <c r="D28" s="18"/>
      <c r="E28" s="24"/>
      <c r="F28" s="25">
        <v>0</v>
      </c>
      <c r="G28" s="26">
        <v>0</v>
      </c>
      <c r="H28" s="21">
        <f t="shared" si="0"/>
        <v>1200</v>
      </c>
      <c r="I28" s="27"/>
    </row>
    <row r="29" spans="2:9" s="22" customFormat="1" ht="35.5" customHeight="1" x14ac:dyDescent="0.35">
      <c r="B29" s="16"/>
      <c r="C29" s="32"/>
      <c r="D29" s="18"/>
      <c r="E29" s="24"/>
      <c r="F29" s="25">
        <v>0</v>
      </c>
      <c r="G29" s="26">
        <v>0</v>
      </c>
      <c r="H29" s="21">
        <f t="shared" si="0"/>
        <v>1200</v>
      </c>
      <c r="I29" s="27"/>
    </row>
    <row r="30" spans="2:9" s="22" customFormat="1" ht="35.5" customHeight="1" x14ac:dyDescent="0.35">
      <c r="B30" s="16"/>
      <c r="C30" s="23"/>
      <c r="D30" s="18"/>
      <c r="E30" s="24"/>
      <c r="F30" s="25">
        <v>0</v>
      </c>
      <c r="G30" s="26">
        <v>0</v>
      </c>
      <c r="H30" s="21">
        <f t="shared" si="0"/>
        <v>1200</v>
      </c>
      <c r="I30" s="27"/>
    </row>
    <row r="31" spans="2:9" s="22" customFormat="1" ht="35.5" customHeight="1" x14ac:dyDescent="0.35">
      <c r="B31" s="16"/>
      <c r="C31" s="23"/>
      <c r="D31" s="18"/>
      <c r="E31" s="24"/>
      <c r="F31" s="25">
        <v>0</v>
      </c>
      <c r="G31" s="26">
        <v>0</v>
      </c>
      <c r="H31" s="21">
        <f t="shared" si="0"/>
        <v>1200</v>
      </c>
      <c r="I31" s="27"/>
    </row>
    <row r="32" spans="2:9" s="22" customFormat="1" ht="35.5" customHeight="1" x14ac:dyDescent="0.35">
      <c r="B32" s="16"/>
      <c r="C32" s="23"/>
      <c r="D32" s="18"/>
      <c r="E32" s="24"/>
      <c r="F32" s="25">
        <v>0</v>
      </c>
      <c r="G32" s="26">
        <v>0</v>
      </c>
      <c r="H32" s="21">
        <f t="shared" si="0"/>
        <v>1200</v>
      </c>
      <c r="I32" s="27"/>
    </row>
    <row r="33" spans="2:9" s="22" customFormat="1" ht="50.5" customHeight="1" x14ac:dyDescent="0.35">
      <c r="B33" s="16"/>
      <c r="C33" s="23"/>
      <c r="D33" s="18"/>
      <c r="E33" s="24"/>
      <c r="F33" s="25">
        <v>0</v>
      </c>
      <c r="G33" s="26">
        <v>0</v>
      </c>
      <c r="H33" s="21">
        <f t="shared" si="0"/>
        <v>1200</v>
      </c>
      <c r="I33" s="27"/>
    </row>
    <row r="34" spans="2:9" s="22" customFormat="1" ht="50.5" customHeight="1" x14ac:dyDescent="0.35">
      <c r="B34" s="16"/>
      <c r="C34" s="23"/>
      <c r="D34" s="18"/>
      <c r="E34" s="24"/>
      <c r="F34" s="25">
        <v>0</v>
      </c>
      <c r="G34" s="26">
        <v>0</v>
      </c>
      <c r="H34" s="21">
        <f t="shared" si="0"/>
        <v>1200</v>
      </c>
      <c r="I34" s="27"/>
    </row>
    <row r="35" spans="2:9" s="22" customFormat="1" ht="50.5" customHeight="1" x14ac:dyDescent="0.35">
      <c r="B35" s="16"/>
      <c r="C35" s="23"/>
      <c r="D35" s="18"/>
      <c r="E35" s="24"/>
      <c r="F35" s="25">
        <v>0</v>
      </c>
      <c r="G35" s="26">
        <v>0</v>
      </c>
      <c r="H35" s="21">
        <f t="shared" si="0"/>
        <v>1200</v>
      </c>
      <c r="I35" s="27"/>
    </row>
    <row r="36" spans="2:9" s="22" customFormat="1" ht="50.5" customHeight="1" x14ac:dyDescent="0.35">
      <c r="B36" s="16"/>
      <c r="C36" s="23"/>
      <c r="D36" s="18"/>
      <c r="E36" s="24"/>
      <c r="F36" s="25">
        <v>0</v>
      </c>
      <c r="G36" s="26">
        <v>0</v>
      </c>
      <c r="H36" s="21">
        <f t="shared" si="0"/>
        <v>1200</v>
      </c>
      <c r="I36" s="27"/>
    </row>
    <row r="37" spans="2:9" s="22" customFormat="1" ht="50.5" customHeight="1" x14ac:dyDescent="0.35">
      <c r="B37" s="16"/>
      <c r="C37" s="23"/>
      <c r="D37" s="18"/>
      <c r="E37" s="24"/>
      <c r="F37" s="25">
        <v>0</v>
      </c>
      <c r="G37" s="26">
        <v>0</v>
      </c>
      <c r="H37" s="21">
        <f t="shared" si="0"/>
        <v>1200</v>
      </c>
      <c r="I37" s="27"/>
    </row>
    <row r="38" spans="2:9" s="22" customFormat="1" ht="50.5" customHeight="1" x14ac:dyDescent="0.35">
      <c r="B38" s="16"/>
      <c r="C38" s="23"/>
      <c r="D38" s="18"/>
      <c r="E38" s="24"/>
      <c r="F38" s="25">
        <v>0</v>
      </c>
      <c r="G38" s="26">
        <v>0</v>
      </c>
      <c r="H38" s="21">
        <f t="shared" si="0"/>
        <v>1200</v>
      </c>
      <c r="I38" s="27"/>
    </row>
    <row r="39" spans="2:9" s="22" customFormat="1" ht="50.5" customHeight="1" x14ac:dyDescent="0.35">
      <c r="B39" s="16"/>
      <c r="C39" s="23"/>
      <c r="D39" s="18"/>
      <c r="E39" s="24"/>
      <c r="F39" s="25">
        <v>0</v>
      </c>
      <c r="G39" s="26">
        <v>0</v>
      </c>
      <c r="H39" s="21">
        <f t="shared" si="0"/>
        <v>1200</v>
      </c>
      <c r="I39" s="27"/>
    </row>
    <row r="40" spans="2:9" s="22" customFormat="1" ht="50.5" customHeight="1" x14ac:dyDescent="0.35">
      <c r="B40" s="16"/>
      <c r="C40" s="23"/>
      <c r="D40" s="18"/>
      <c r="E40" s="24"/>
      <c r="F40" s="25">
        <v>0</v>
      </c>
      <c r="G40" s="26">
        <v>0</v>
      </c>
      <c r="H40" s="21">
        <f t="shared" si="0"/>
        <v>1200</v>
      </c>
      <c r="I40" s="27"/>
    </row>
    <row r="41" spans="2:9" s="22" customFormat="1" ht="50.5" customHeight="1" x14ac:dyDescent="0.35">
      <c r="B41" s="16"/>
      <c r="C41" s="23"/>
      <c r="D41" s="18"/>
      <c r="E41" s="24"/>
      <c r="F41" s="25">
        <v>0</v>
      </c>
      <c r="G41" s="26">
        <v>0</v>
      </c>
      <c r="H41" s="21">
        <f t="shared" si="0"/>
        <v>1200</v>
      </c>
      <c r="I41" s="27"/>
    </row>
    <row r="42" spans="2:9" s="22" customFormat="1" ht="50.5" customHeight="1" x14ac:dyDescent="0.35">
      <c r="B42" s="16">
        <v>45498</v>
      </c>
      <c r="C42" s="23"/>
      <c r="D42" s="18"/>
      <c r="E42" s="24"/>
      <c r="F42" s="25">
        <v>0</v>
      </c>
      <c r="G42" s="26">
        <v>0</v>
      </c>
      <c r="H42" s="21">
        <f t="shared" si="0"/>
        <v>1200</v>
      </c>
      <c r="I42" s="27"/>
    </row>
    <row r="43" spans="2:9" s="22" customFormat="1" ht="50.5" customHeight="1" x14ac:dyDescent="0.35">
      <c r="B43" s="16"/>
      <c r="C43" s="23"/>
      <c r="D43" s="18"/>
      <c r="E43" s="24"/>
      <c r="F43" s="25">
        <v>0</v>
      </c>
      <c r="G43" s="26">
        <v>0</v>
      </c>
      <c r="H43" s="21">
        <f t="shared" si="0"/>
        <v>1200</v>
      </c>
      <c r="I43" s="27"/>
    </row>
    <row r="44" spans="2:9" s="22" customFormat="1" ht="30" customHeight="1" x14ac:dyDescent="0.35">
      <c r="B44" s="16"/>
      <c r="C44" s="28" t="s">
        <v>115</v>
      </c>
      <c r="D44" s="29"/>
      <c r="E44" s="30"/>
      <c r="F44" s="34">
        <f>SUM(F11:F43)</f>
        <v>3800</v>
      </c>
      <c r="G44" s="35">
        <f>SUM(G11:G43)</f>
        <v>2600</v>
      </c>
      <c r="H44" s="34">
        <f>F44-G44</f>
        <v>1200</v>
      </c>
      <c r="I44" s="27"/>
    </row>
    <row r="45" spans="2:9" ht="27.75" customHeight="1" x14ac:dyDescent="0.5">
      <c r="E45" s="57" t="s">
        <v>67</v>
      </c>
      <c r="F45" s="58"/>
      <c r="G45" s="59"/>
      <c r="H45" s="44">
        <f>H44</f>
        <v>1200</v>
      </c>
      <c r="I45" s="33" t="s">
        <v>29</v>
      </c>
    </row>
    <row r="46" spans="2:9" ht="27.75" customHeight="1" x14ac:dyDescent="0.5">
      <c r="E46" s="60" t="s">
        <v>68</v>
      </c>
      <c r="F46" s="61"/>
      <c r="G46" s="62"/>
      <c r="H46" s="44">
        <f>H44-H45</f>
        <v>0</v>
      </c>
      <c r="I46" s="33" t="s">
        <v>29</v>
      </c>
    </row>
    <row r="47" spans="2:9" x14ac:dyDescent="0.35">
      <c r="B47" s="11"/>
      <c r="D47" s="11"/>
      <c r="E47" s="11"/>
    </row>
    <row r="48" spans="2:9" x14ac:dyDescent="0.35">
      <c r="B48" s="11"/>
      <c r="D48" s="11"/>
      <c r="E48" s="11"/>
    </row>
    <row r="49" s="11" customFormat="1" x14ac:dyDescent="0.35"/>
    <row r="50" s="11" customFormat="1" x14ac:dyDescent="0.35"/>
    <row r="51" s="11" customFormat="1" x14ac:dyDescent="0.35"/>
    <row r="52" s="11" customFormat="1" x14ac:dyDescent="0.35"/>
    <row r="53" s="11" customFormat="1" x14ac:dyDescent="0.35"/>
    <row r="54" s="11" customFormat="1" x14ac:dyDescent="0.35"/>
    <row r="55" s="11" customFormat="1" x14ac:dyDescent="0.35"/>
    <row r="56" s="11" customFormat="1" x14ac:dyDescent="0.35"/>
  </sheetData>
  <mergeCells count="5">
    <mergeCell ref="B6:H6"/>
    <mergeCell ref="B7:H7"/>
    <mergeCell ref="B8:H8"/>
    <mergeCell ref="E45:G45"/>
    <mergeCell ref="E46:G46"/>
  </mergeCells>
  <pageMargins left="0.7" right="0.7" top="0.75" bottom="0.75" header="0.3" footer="0.3"/>
  <pageSetup scale="7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6AB2E-068B-45AE-A10D-89B3E9A9167E}">
  <dimension ref="A2:M26"/>
  <sheetViews>
    <sheetView topLeftCell="A11" workbookViewId="0">
      <selection activeCell="B22" sqref="B22"/>
    </sheetView>
  </sheetViews>
  <sheetFormatPr defaultRowHeight="14.5" x14ac:dyDescent="0.35"/>
  <cols>
    <col min="1" max="1" width="46.7265625" customWidth="1"/>
    <col min="2" max="2" width="41.54296875" customWidth="1"/>
    <col min="3" max="3" width="11" customWidth="1"/>
    <col min="4" max="5" width="26.54296875" customWidth="1"/>
    <col min="6" max="6" width="21.81640625" customWidth="1"/>
    <col min="7" max="7" width="73.54296875" customWidth="1"/>
  </cols>
  <sheetData>
    <row r="2" spans="1:13" ht="23.5" x14ac:dyDescent="0.55000000000000004">
      <c r="A2" s="37" t="s">
        <v>80</v>
      </c>
      <c r="B2" s="37" t="s">
        <v>77</v>
      </c>
      <c r="C2" s="63" t="s">
        <v>78</v>
      </c>
      <c r="D2" s="64"/>
      <c r="E2" s="63" t="s">
        <v>79</v>
      </c>
      <c r="F2" s="64"/>
      <c r="G2" s="37" t="s">
        <v>83</v>
      </c>
      <c r="H2" s="36"/>
      <c r="I2" s="36"/>
      <c r="J2" s="36"/>
      <c r="K2" s="36"/>
      <c r="L2" s="36"/>
      <c r="M2" s="36"/>
    </row>
    <row r="3" spans="1:13" ht="23.5" x14ac:dyDescent="0.55000000000000004">
      <c r="A3" s="37"/>
      <c r="B3" s="37"/>
      <c r="C3" s="37" t="s">
        <v>91</v>
      </c>
      <c r="D3" s="37" t="s">
        <v>92</v>
      </c>
      <c r="E3" s="37" t="s">
        <v>91</v>
      </c>
      <c r="F3" s="37" t="s">
        <v>92</v>
      </c>
      <c r="G3" s="37"/>
      <c r="H3" s="36"/>
      <c r="I3" s="36"/>
      <c r="J3" s="36"/>
      <c r="K3" s="36"/>
      <c r="L3" s="36"/>
      <c r="M3" s="36"/>
    </row>
    <row r="4" spans="1:13" ht="23.5" x14ac:dyDescent="0.55000000000000004">
      <c r="A4" s="39" t="s">
        <v>81</v>
      </c>
      <c r="B4" s="39" t="s">
        <v>82</v>
      </c>
      <c r="C4" s="41"/>
      <c r="D4" s="41">
        <v>1</v>
      </c>
      <c r="E4" s="41"/>
      <c r="F4" s="41">
        <v>1</v>
      </c>
      <c r="G4" s="38" t="s">
        <v>84</v>
      </c>
      <c r="H4" s="36"/>
      <c r="I4" s="36"/>
      <c r="J4" s="36"/>
      <c r="K4" s="36"/>
      <c r="L4" s="36"/>
      <c r="M4" s="36"/>
    </row>
    <row r="5" spans="1:13" ht="23.5" x14ac:dyDescent="0.55000000000000004">
      <c r="A5" s="39" t="s">
        <v>85</v>
      </c>
      <c r="B5" s="39" t="s">
        <v>86</v>
      </c>
      <c r="C5" s="41"/>
      <c r="D5" s="41">
        <v>2</v>
      </c>
      <c r="E5" s="41"/>
      <c r="F5" s="41">
        <v>2</v>
      </c>
      <c r="G5" s="38" t="s">
        <v>87</v>
      </c>
      <c r="H5" s="36"/>
      <c r="I5" s="36"/>
      <c r="J5" s="36"/>
      <c r="K5" s="36"/>
      <c r="L5" s="36"/>
      <c r="M5" s="36"/>
    </row>
    <row r="6" spans="1:13" ht="23.5" x14ac:dyDescent="0.55000000000000004">
      <c r="A6" s="39" t="s">
        <v>88</v>
      </c>
      <c r="B6" s="39" t="s">
        <v>89</v>
      </c>
      <c r="C6" s="41">
        <v>1</v>
      </c>
      <c r="D6" s="41"/>
      <c r="E6" s="41">
        <v>1</v>
      </c>
      <c r="F6" s="41"/>
      <c r="G6" s="38" t="s">
        <v>90</v>
      </c>
      <c r="H6" s="36"/>
      <c r="I6" s="36"/>
      <c r="J6" s="36"/>
      <c r="K6" s="36"/>
      <c r="L6" s="36"/>
      <c r="M6" s="36"/>
    </row>
    <row r="7" spans="1:13" ht="23.5" x14ac:dyDescent="0.55000000000000004">
      <c r="A7" s="39" t="s">
        <v>93</v>
      </c>
      <c r="B7" s="39" t="s">
        <v>94</v>
      </c>
      <c r="C7" s="41"/>
      <c r="D7" s="41">
        <v>1</v>
      </c>
      <c r="E7" s="41"/>
      <c r="F7" s="41">
        <v>1</v>
      </c>
      <c r="G7" s="38" t="s">
        <v>84</v>
      </c>
      <c r="H7" s="36"/>
      <c r="I7" s="36"/>
      <c r="J7" s="36"/>
      <c r="K7" s="36"/>
      <c r="L7" s="36"/>
      <c r="M7" s="36"/>
    </row>
    <row r="8" spans="1:13" ht="23.5" x14ac:dyDescent="0.55000000000000004">
      <c r="A8" s="39"/>
      <c r="B8" s="39"/>
      <c r="C8" s="41"/>
      <c r="D8" s="41"/>
      <c r="E8" s="41"/>
      <c r="F8" s="41"/>
      <c r="G8" s="38"/>
      <c r="H8" s="36"/>
      <c r="I8" s="36"/>
      <c r="J8" s="36"/>
      <c r="K8" s="36"/>
      <c r="L8" s="36"/>
      <c r="M8" s="36"/>
    </row>
    <row r="9" spans="1:13" ht="23.5" x14ac:dyDescent="0.55000000000000004">
      <c r="A9" s="39"/>
      <c r="B9" s="39"/>
      <c r="C9" s="41"/>
      <c r="D9" s="41"/>
      <c r="E9" s="41"/>
      <c r="F9" s="41"/>
      <c r="G9" s="38"/>
      <c r="H9" s="36"/>
      <c r="I9" s="36"/>
      <c r="J9" s="36"/>
      <c r="K9" s="36"/>
      <c r="L9" s="36"/>
      <c r="M9" s="36"/>
    </row>
    <row r="10" spans="1:13" ht="23.5" x14ac:dyDescent="0.55000000000000004">
      <c r="A10" s="39"/>
      <c r="B10" s="39"/>
      <c r="C10" s="41"/>
      <c r="D10" s="41"/>
      <c r="E10" s="41"/>
      <c r="F10" s="41"/>
      <c r="G10" s="38"/>
      <c r="H10" s="36"/>
      <c r="I10" s="36"/>
      <c r="J10" s="36"/>
      <c r="K10" s="36"/>
      <c r="L10" s="36"/>
      <c r="M10" s="36"/>
    </row>
    <row r="11" spans="1:13" ht="23.5" x14ac:dyDescent="0.55000000000000004">
      <c r="A11" s="39"/>
      <c r="B11" s="39"/>
      <c r="C11" s="41"/>
      <c r="D11" s="41"/>
      <c r="E11" s="41"/>
      <c r="F11" s="41"/>
      <c r="G11" s="38"/>
      <c r="H11" s="36"/>
      <c r="I11" s="36"/>
      <c r="J11" s="36"/>
      <c r="K11" s="36"/>
      <c r="L11" s="36"/>
      <c r="M11" s="36"/>
    </row>
    <row r="12" spans="1:13" ht="23.5" x14ac:dyDescent="0.55000000000000004">
      <c r="A12" s="39"/>
      <c r="B12" s="39"/>
      <c r="C12" s="41"/>
      <c r="D12" s="41"/>
      <c r="E12" s="41"/>
      <c r="F12" s="41"/>
      <c r="G12" s="38"/>
      <c r="H12" s="36"/>
      <c r="I12" s="36"/>
      <c r="J12" s="36"/>
      <c r="K12" s="36"/>
      <c r="L12" s="36"/>
      <c r="M12" s="36"/>
    </row>
    <row r="13" spans="1:13" ht="23.5" x14ac:dyDescent="0.55000000000000004">
      <c r="A13" s="39"/>
      <c r="B13" s="39"/>
      <c r="C13" s="41"/>
      <c r="D13" s="41"/>
      <c r="E13" s="41"/>
      <c r="F13" s="41"/>
      <c r="G13" s="38"/>
      <c r="H13" s="36"/>
      <c r="I13" s="36"/>
      <c r="J13" s="36"/>
      <c r="K13" s="36"/>
      <c r="L13" s="36"/>
      <c r="M13" s="36"/>
    </row>
    <row r="14" spans="1:13" ht="23.5" x14ac:dyDescent="0.55000000000000004">
      <c r="A14" s="39"/>
      <c r="B14" s="39"/>
      <c r="C14" s="41"/>
      <c r="D14" s="41"/>
      <c r="E14" s="41"/>
      <c r="F14" s="41"/>
      <c r="G14" s="38"/>
      <c r="H14" s="36"/>
      <c r="I14" s="36"/>
      <c r="J14" s="36"/>
      <c r="K14" s="36"/>
      <c r="L14" s="36"/>
      <c r="M14" s="36"/>
    </row>
    <row r="15" spans="1:13" ht="23.5" x14ac:dyDescent="0.55000000000000004">
      <c r="A15" s="39"/>
      <c r="B15" s="39"/>
      <c r="C15" s="41"/>
      <c r="D15" s="41"/>
      <c r="E15" s="41"/>
      <c r="F15" s="41"/>
      <c r="G15" s="38"/>
      <c r="H15" s="36"/>
      <c r="I15" s="36"/>
      <c r="J15" s="36"/>
      <c r="K15" s="36"/>
      <c r="L15" s="36"/>
      <c r="M15" s="36"/>
    </row>
    <row r="16" spans="1:13" ht="23.5" x14ac:dyDescent="0.55000000000000004">
      <c r="A16" s="39"/>
      <c r="B16" s="39"/>
      <c r="C16" s="41"/>
      <c r="D16" s="41"/>
      <c r="E16" s="41"/>
      <c r="F16" s="41"/>
      <c r="G16" s="38"/>
      <c r="H16" s="36"/>
      <c r="I16" s="36"/>
      <c r="J16" s="36"/>
      <c r="K16" s="36"/>
      <c r="L16" s="36"/>
      <c r="M16" s="36"/>
    </row>
    <row r="17" spans="1:13" ht="23.5" x14ac:dyDescent="0.55000000000000004">
      <c r="A17" s="39"/>
      <c r="B17" s="39"/>
      <c r="C17" s="41"/>
      <c r="D17" s="41"/>
      <c r="E17" s="41"/>
      <c r="F17" s="41"/>
      <c r="G17" s="38"/>
      <c r="H17" s="36"/>
      <c r="I17" s="36"/>
      <c r="J17" s="36"/>
      <c r="K17" s="36"/>
      <c r="L17" s="36"/>
      <c r="M17" s="36"/>
    </row>
    <row r="18" spans="1:13" ht="23.5" x14ac:dyDescent="0.55000000000000004">
      <c r="A18" s="39"/>
      <c r="B18" s="39"/>
      <c r="C18" s="41"/>
      <c r="D18" s="41"/>
      <c r="E18" s="41"/>
      <c r="F18" s="41"/>
      <c r="G18" s="38"/>
      <c r="H18" s="36"/>
      <c r="I18" s="36"/>
      <c r="J18" s="36"/>
      <c r="K18" s="36"/>
      <c r="L18" s="36"/>
      <c r="M18" s="36"/>
    </row>
    <row r="19" spans="1:13" ht="23.5" x14ac:dyDescent="0.55000000000000004">
      <c r="A19" s="39"/>
      <c r="B19" s="39"/>
      <c r="C19" s="41"/>
      <c r="D19" s="41"/>
      <c r="E19" s="41"/>
      <c r="F19" s="41"/>
      <c r="G19" s="38"/>
      <c r="H19" s="36"/>
      <c r="I19" s="36"/>
      <c r="J19" s="36"/>
      <c r="K19" s="36"/>
      <c r="L19" s="36"/>
      <c r="M19" s="36"/>
    </row>
    <row r="20" spans="1:13" ht="23.5" x14ac:dyDescent="0.55000000000000004">
      <c r="A20" s="39"/>
      <c r="B20" s="39"/>
      <c r="C20" s="41"/>
      <c r="D20" s="41"/>
      <c r="E20" s="41"/>
      <c r="F20" s="41"/>
      <c r="G20" s="38"/>
      <c r="H20" s="36"/>
      <c r="I20" s="36"/>
      <c r="J20" s="36"/>
      <c r="K20" s="36"/>
      <c r="L20" s="36"/>
      <c r="M20" s="36"/>
    </row>
    <row r="21" spans="1:13" ht="33.5" x14ac:dyDescent="0.75">
      <c r="A21" s="40" t="s">
        <v>95</v>
      </c>
      <c r="B21" s="40"/>
      <c r="C21" s="42">
        <f>SUM(C4:C20)</f>
        <v>1</v>
      </c>
      <c r="D21" s="42">
        <f>SUM(D4:D20)</f>
        <v>4</v>
      </c>
      <c r="E21" s="42">
        <f>SUM(E4:E20)</f>
        <v>1</v>
      </c>
      <c r="F21" s="42">
        <f>SUM(F4:F20)</f>
        <v>4</v>
      </c>
      <c r="G21" s="40"/>
      <c r="H21" s="36"/>
      <c r="I21" s="36"/>
      <c r="J21" s="36"/>
      <c r="K21" s="36"/>
      <c r="L21" s="36"/>
      <c r="M21" s="36"/>
    </row>
    <row r="22" spans="1:13" ht="21" x14ac:dyDescent="0.5"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</row>
    <row r="23" spans="1:13" ht="21" x14ac:dyDescent="0.5"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</row>
    <row r="24" spans="1:13" ht="21" x14ac:dyDescent="0.5"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</row>
    <row r="25" spans="1:13" ht="21" x14ac:dyDescent="0.5"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</row>
    <row r="26" spans="1:13" ht="21" x14ac:dyDescent="0.5"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</row>
  </sheetData>
  <mergeCells count="2">
    <mergeCell ref="C2:D2"/>
    <mergeCell ref="E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CashBook - SSP</vt:lpstr>
      <vt:lpstr>CashBook -USD</vt:lpstr>
      <vt:lpstr>Animals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Garang Abel</dc:creator>
  <cp:lastModifiedBy>Garang Abel</cp:lastModifiedBy>
  <dcterms:created xsi:type="dcterms:W3CDTF">2026-07-28T19:34:30Z</dcterms:created>
  <dcterms:modified xsi:type="dcterms:W3CDTF">2026-08-02T20:14:16Z</dcterms:modified>
</cp:coreProperties>
</file>