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Quotation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E0E0E0"/>
      <sz val="11"/>
    </font>
    <font>
      <name val="Calibri"/>
      <b val="1"/>
      <color rgb="00555555"/>
      <sz val="9"/>
    </font>
    <font>
      <name val="Calibri"/>
      <b val="1"/>
      <color rgb="001A3636"/>
      <sz val="20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A3636"/>
      <sz val="11"/>
    </font>
    <font>
      <name val="Calibri"/>
      <b val="1"/>
      <color rgb="001A3636"/>
      <sz val="12"/>
    </font>
  </fonts>
  <fills count="8">
    <fill>
      <patternFill/>
    </fill>
    <fill>
      <patternFill patternType="gray125"/>
    </fill>
    <fill>
      <patternFill patternType="solid">
        <fgColor rgb="001A3636"/>
        <bgColor rgb="001A3636"/>
      </patternFill>
    </fill>
    <fill>
      <patternFill patternType="solid">
        <fgColor rgb="00E8F1F2"/>
        <bgColor rgb="00E8F1F2"/>
      </patternFill>
    </fill>
    <fill>
      <patternFill patternType="solid">
        <fgColor rgb="0040534C"/>
        <bgColor rgb="0040534C"/>
      </patternFill>
    </fill>
    <fill>
      <patternFill patternType="solid">
        <fgColor rgb="00FFFFFF"/>
        <bgColor rgb="00FFFFFF"/>
      </patternFill>
    </fill>
    <fill>
      <patternFill patternType="solid">
        <fgColor rgb="00F7F9F8"/>
        <bgColor rgb="00F7F9F8"/>
      </patternFill>
    </fill>
    <fill>
      <patternFill patternType="solid">
        <fgColor rgb="00D6EFD8"/>
        <bgColor rgb="00D6EFD8"/>
      </patternFill>
    </fill>
  </fills>
  <borders count="4">
    <border>
      <left/>
      <right/>
      <top/>
      <bottom/>
      <diagonal/>
    </border>
    <border>
      <left style="thin">
        <color rgb="001A3636"/>
      </left>
      <right style="thin">
        <color rgb="001A3636"/>
      </right>
      <top style="thin">
        <color rgb="001A3636"/>
      </top>
      <bottom style="medium">
        <color rgb="001A363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A3636"/>
      </top>
      <bottom style="double">
        <color rgb="001A363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5" borderId="2" pivotButton="0" quotePrefix="0" xfId="0"/>
    <xf numFmtId="0" fontId="6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0" fontId="6" fillId="6" borderId="2" pivotButton="0" quotePrefix="0" xfId="0"/>
    <xf numFmtId="0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right" vertical="center"/>
    </xf>
    <xf numFmtId="164" fontId="7" fillId="6" borderId="2" applyAlignment="1" pivotButton="0" quotePrefix="0" xfId="0">
      <alignment horizontal="right" vertical="center"/>
    </xf>
    <xf numFmtId="0" fontId="7" fillId="7" borderId="3" applyAlignment="1" pivotButton="0" quotePrefix="0" xfId="0">
      <alignment horizontal="right" vertical="center" indent="1"/>
    </xf>
    <xf numFmtId="0" fontId="0" fillId="0" borderId="3" pivotButton="0" quotePrefix="0" xfId="0"/>
    <xf numFmtId="164" fontId="8" fillId="7" borderId="3" applyAlignment="1" pivotButton="0" quotePrefix="0" xfId="0">
      <alignment horizontal="right" vertical="center"/>
    </xf>
    <xf numFmtId="0" fontId="6" fillId="0" borderId="2" pivotButton="0" quotePrefix="0" xfId="0"/>
    <xf numFmtId="164" fontId="7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7" fillId="7" borderId="3" pivotButton="0" quotePrefix="0" xfId="0"/>
    <xf numFmtId="164" fontId="7" fillId="7" borderId="3" applyAlignment="1" pivotButton="0" quotePrefix="0" xfId="0">
      <alignment horizontal="right" vertical="center"/>
    </xf>
    <xf numFmtId="165" fontId="7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Allocation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Summary'!$A$4:$A$8</f>
            </numRef>
          </cat>
          <val>
            <numRef>
              <f>'Category Summary'!$B$4:$B$8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0" customWidth="1" min="3" max="3"/>
    <col width="16" customWidth="1" min="4" max="4"/>
    <col width="20" customWidth="1" min="5" max="5"/>
  </cols>
  <sheetData>
    <row r="1" ht="30" customHeight="1">
      <c r="A1" s="1" t="inlineStr">
        <is>
          <t>SALON &amp; TRAINING CENTER - STARTUP BUDGET QUOTATION</t>
        </is>
      </c>
    </row>
    <row r="2" ht="20" customHeight="1">
      <c r="A2" s="2" t="inlineStr">
        <is>
          <t>Complete Itemized Budget Estimate for 4x6m Setup (Hair, Makeup &amp; Training Facility)</t>
        </is>
      </c>
    </row>
    <row r="4">
      <c r="A4" s="3" t="inlineStr">
        <is>
          <t>TOTAL ESTIMATED BUDGET</t>
        </is>
      </c>
      <c r="D4" s="3" t="inlineStr">
        <is>
          <t>TOTAL LINE ITEMS</t>
        </is>
      </c>
    </row>
    <row r="5">
      <c r="A5" s="4">
        <f>E38</f>
        <v/>
      </c>
      <c r="D5" s="5">
        <f>COUNTA(B9:B36)-5</f>
        <v/>
      </c>
    </row>
    <row r="6"/>
    <row r="8" ht="25" customHeight="1">
      <c r="A8" s="6" t="inlineStr">
        <is>
          <t>Category</t>
        </is>
      </c>
      <c r="B8" s="6" t="inlineStr">
        <is>
          <t>Item Description</t>
        </is>
      </c>
      <c r="C8" s="7" t="inlineStr">
        <is>
          <t>Qty</t>
        </is>
      </c>
      <c r="D8" s="7" t="inlineStr">
        <is>
          <t>Unit Cost ($)</t>
        </is>
      </c>
      <c r="E8" s="7" t="inlineStr">
        <is>
          <t>Total Amount ($)</t>
        </is>
      </c>
    </row>
    <row r="9" ht="22" customHeight="1">
      <c r="A9" s="8" t="inlineStr">
        <is>
          <t>1. Hair Styling &amp; Client Area</t>
        </is>
      </c>
    </row>
    <row r="10" ht="20" customHeight="1">
      <c r="A10" s="9" t="inlineStr">
        <is>
          <t>Hair Styling</t>
        </is>
      </c>
      <c r="B10" s="9" t="inlineStr">
        <is>
          <t>Professional Hydraulic Styling Chairs</t>
        </is>
      </c>
      <c r="C10" s="10" t="n">
        <v>2</v>
      </c>
      <c r="D10" s="11" t="n">
        <v>180</v>
      </c>
      <c r="E10" s="12">
        <f>C10*D10</f>
        <v/>
      </c>
    </row>
    <row r="11" ht="20" customHeight="1">
      <c r="A11" s="13" t="inlineStr">
        <is>
          <t>Hair Styling</t>
        </is>
      </c>
      <c r="B11" s="13" t="inlineStr">
        <is>
          <t>Large Styling Mirrors (with LED backlights)</t>
        </is>
      </c>
      <c r="C11" s="14" t="n">
        <v>2</v>
      </c>
      <c r="D11" s="15" t="n">
        <v>120</v>
      </c>
      <c r="E11" s="16">
        <f>C11*D11</f>
        <v/>
      </c>
    </row>
    <row r="12" ht="20" customHeight="1">
      <c r="A12" s="9" t="inlineStr">
        <is>
          <t>Hair Styling</t>
        </is>
      </c>
      <c r="B12" s="9" t="inlineStr">
        <is>
          <t>Shampoo Wash Basin Unit (Backwash System)</t>
        </is>
      </c>
      <c r="C12" s="10" t="n">
        <v>1</v>
      </c>
      <c r="D12" s="11" t="n">
        <v>450</v>
      </c>
      <c r="E12" s="12">
        <f>C12*D12</f>
        <v/>
      </c>
    </row>
    <row r="13" ht="20" customHeight="1">
      <c r="A13" s="13" t="inlineStr">
        <is>
          <t>Hair Styling</t>
        </is>
      </c>
      <c r="B13" s="13" t="inlineStr">
        <is>
          <t>Standing / Hooded Hair Dryer &amp; Steamer</t>
        </is>
      </c>
      <c r="C13" s="14" t="n">
        <v>1</v>
      </c>
      <c r="D13" s="15" t="n">
        <v>180</v>
      </c>
      <c r="E13" s="16">
        <f>C13*D13</f>
        <v/>
      </c>
    </row>
    <row r="14" ht="20" customHeight="1">
      <c r="A14" s="9" t="inlineStr">
        <is>
          <t>Hair Styling</t>
        </is>
      </c>
      <c r="B14" s="9" t="inlineStr">
        <is>
          <t>Professional Blow Dryers</t>
        </is>
      </c>
      <c r="C14" s="10" t="n">
        <v>2</v>
      </c>
      <c r="D14" s="11" t="n">
        <v>60</v>
      </c>
      <c r="E14" s="12">
        <f>C14*D14</f>
        <v/>
      </c>
    </row>
    <row r="15" ht="20" customHeight="1">
      <c r="A15" s="13" t="inlineStr">
        <is>
          <t>Hair Styling</t>
        </is>
      </c>
      <c r="B15" s="13" t="inlineStr">
        <is>
          <t>Hot Comb Machines &amp; Flat Irons</t>
        </is>
      </c>
      <c r="C15" s="14" t="n">
        <v>2</v>
      </c>
      <c r="D15" s="15" t="n">
        <v>50</v>
      </c>
      <c r="E15" s="16">
        <f>C15*D15</f>
        <v/>
      </c>
    </row>
    <row r="16" ht="22" customHeight="1">
      <c r="A16" s="8" t="inlineStr">
        <is>
          <t>2. Training &amp; Student Setup</t>
        </is>
      </c>
    </row>
    <row r="17" ht="20" customHeight="1">
      <c r="A17" s="9" t="inlineStr">
        <is>
          <t>Training</t>
        </is>
      </c>
      <c r="B17" s="9" t="inlineStr">
        <is>
          <t>Practice Mannequin Heads (Dolls for Practice)</t>
        </is>
      </c>
      <c r="C17" s="10" t="n">
        <v>6</v>
      </c>
      <c r="D17" s="11" t="n">
        <v>25</v>
      </c>
      <c r="E17" s="12">
        <f>C17*D17</f>
        <v/>
      </c>
    </row>
    <row r="18" ht="20" customHeight="1">
      <c r="A18" s="13" t="inlineStr">
        <is>
          <t>Training</t>
        </is>
      </c>
      <c r="B18" s="13" t="inlineStr">
        <is>
          <t>Table Clamps &amp; Floor Stands for Dolls</t>
        </is>
      </c>
      <c r="C18" s="14" t="n">
        <v>6</v>
      </c>
      <c r="D18" s="15" t="n">
        <v>15</v>
      </c>
      <c r="E18" s="16">
        <f>C18*D18</f>
        <v/>
      </c>
    </row>
    <row r="19" ht="20" customHeight="1">
      <c r="A19" s="9" t="inlineStr">
        <is>
          <t>Training</t>
        </is>
      </c>
      <c r="B19" s="9" t="inlineStr">
        <is>
          <t>Whiteboard &amp; Marker Pack</t>
        </is>
      </c>
      <c r="C19" s="10" t="n">
        <v>1</v>
      </c>
      <c r="D19" s="11" t="n">
        <v>45</v>
      </c>
      <c r="E19" s="12">
        <f>C19*D19</f>
        <v/>
      </c>
    </row>
    <row r="20" ht="20" customHeight="1">
      <c r="A20" s="13" t="inlineStr">
        <is>
          <t>Training</t>
        </is>
      </c>
      <c r="B20" s="13" t="inlineStr">
        <is>
          <t>Student Practice Tables / Desks</t>
        </is>
      </c>
      <c r="C20" s="14" t="n">
        <v>2</v>
      </c>
      <c r="D20" s="15" t="n">
        <v>70</v>
      </c>
      <c r="E20" s="16">
        <f>C20*D20</f>
        <v/>
      </c>
    </row>
    <row r="21" ht="22" customHeight="1">
      <c r="A21" s="8" t="inlineStr">
        <is>
          <t>3. Dedicated Makeup Station</t>
        </is>
      </c>
    </row>
    <row r="22" ht="20" customHeight="1">
      <c r="A22" s="9" t="inlineStr">
        <is>
          <t>Makeup</t>
        </is>
      </c>
      <c r="B22" s="9" t="inlineStr">
        <is>
          <t>Professional Vanity Makeup Table + Hollywood Mirror</t>
        </is>
      </c>
      <c r="C22" s="10" t="n">
        <v>1</v>
      </c>
      <c r="D22" s="11" t="n">
        <v>250</v>
      </c>
      <c r="E22" s="12">
        <f>C22*D22</f>
        <v/>
      </c>
    </row>
    <row r="23" ht="20" customHeight="1">
      <c r="A23" s="13" t="inlineStr">
        <is>
          <t>Makeup</t>
        </is>
      </c>
      <c r="B23" s="13" t="inlineStr">
        <is>
          <t>Adjustable High-Angle Makeup Chair / Stool</t>
        </is>
      </c>
      <c r="C23" s="14" t="n">
        <v>1</v>
      </c>
      <c r="D23" s="15" t="n">
        <v>100</v>
      </c>
      <c r="E23" s="16">
        <f>C23*D23</f>
        <v/>
      </c>
    </row>
    <row r="24" ht="20" customHeight="1">
      <c r="A24" s="9" t="inlineStr">
        <is>
          <t>Makeup</t>
        </is>
      </c>
      <c r="B24" s="9" t="inlineStr">
        <is>
          <t>Ring Light (for detailed makeup &amp; student photos)</t>
        </is>
      </c>
      <c r="C24" s="10" t="n">
        <v>1</v>
      </c>
      <c r="D24" s="11" t="n">
        <v>60</v>
      </c>
      <c r="E24" s="12">
        <f>C24*D24</f>
        <v/>
      </c>
    </row>
    <row r="25" ht="20" customHeight="1">
      <c r="A25" s="13" t="inlineStr">
        <is>
          <t>Makeup</t>
        </is>
      </c>
      <c r="B25" s="13" t="inlineStr">
        <is>
          <t>Starter Professional Makeup Kit (Foundations, palettes, brushes)</t>
        </is>
      </c>
      <c r="C25" s="14" t="n">
        <v>1</v>
      </c>
      <c r="D25" s="15" t="n">
        <v>250</v>
      </c>
      <c r="E25" s="16">
        <f>C25*D25</f>
        <v/>
      </c>
    </row>
    <row r="26" ht="20" customHeight="1">
      <c r="A26" s="9" t="inlineStr">
        <is>
          <t>Makeup</t>
        </is>
      </c>
      <c r="B26" s="9" t="inlineStr">
        <is>
          <t>Disposable Applicators, Sponges &amp; Brush Cleaners</t>
        </is>
      </c>
      <c r="C26" s="10" t="n">
        <v>1</v>
      </c>
      <c r="D26" s="11" t="n">
        <v>40</v>
      </c>
      <c r="E26" s="12">
        <f>C26*D26</f>
        <v/>
      </c>
    </row>
    <row r="27" ht="22" customHeight="1">
      <c r="A27" s="8" t="inlineStr">
        <is>
          <t>4. Tools, Consumables &amp; Hair Inventory</t>
        </is>
      </c>
    </row>
    <row r="28" ht="20" customHeight="1">
      <c r="A28" s="13" t="inlineStr">
        <is>
          <t>Tools &amp; Inventory</t>
        </is>
      </c>
      <c r="B28" s="13" t="inlineStr">
        <is>
          <t>Professional Comb Sets (Tail, wide-tooth, cutting)</t>
        </is>
      </c>
      <c r="C28" s="14" t="n">
        <v>3</v>
      </c>
      <c r="D28" s="15" t="n">
        <v>15</v>
      </c>
      <c r="E28" s="16">
        <f>C28*D28</f>
        <v/>
      </c>
    </row>
    <row r="29" ht="20" customHeight="1">
      <c r="A29" s="9" t="inlineStr">
        <is>
          <t>Tools &amp; Inventory</t>
        </is>
      </c>
      <c r="B29" s="9" t="inlineStr">
        <is>
          <t>Professional Hair Cutting Shears &amp; Clippers</t>
        </is>
      </c>
      <c r="C29" s="10" t="n">
        <v>2</v>
      </c>
      <c r="D29" s="11" t="n">
        <v>70</v>
      </c>
      <c r="E29" s="12">
        <f>C29*D29</f>
        <v/>
      </c>
    </row>
    <row r="30" ht="20" customHeight="1">
      <c r="A30" s="13" t="inlineStr">
        <is>
          <t>Tools &amp; Inventory</t>
        </is>
      </c>
      <c r="B30" s="13" t="inlineStr">
        <is>
          <t>Hair Relaxers, Treatments &amp; Dyes Stock</t>
        </is>
      </c>
      <c r="C30" s="14" t="n">
        <v>1</v>
      </c>
      <c r="D30" s="15" t="n">
        <v>150</v>
      </c>
      <c r="E30" s="16">
        <f>C30*D30</f>
        <v/>
      </c>
    </row>
    <row r="31" ht="20" customHeight="1">
      <c r="A31" s="9" t="inlineStr">
        <is>
          <t>Tools &amp; Inventory</t>
        </is>
      </c>
      <c r="B31" s="9" t="inlineStr">
        <is>
          <t>Hair Foods, Oils, Sprays &amp; Cosmetics Stock</t>
        </is>
      </c>
      <c r="C31" s="10" t="n">
        <v>1</v>
      </c>
      <c r="D31" s="11" t="n">
        <v>100</v>
      </c>
      <c r="E31" s="12">
        <f>C31*D31</f>
        <v/>
      </c>
    </row>
    <row r="32" ht="20" customHeight="1">
      <c r="A32" s="13" t="inlineStr">
        <is>
          <t>Tools &amp; Inventory</t>
        </is>
      </c>
      <c r="B32" s="13" t="inlineStr">
        <is>
          <t>Braiding Hair Bundles (Synthetic &amp; Human Hair stock)</t>
        </is>
      </c>
      <c r="C32" s="14" t="n">
        <v>1</v>
      </c>
      <c r="D32" s="15" t="n">
        <v>200</v>
      </c>
      <c r="E32" s="16">
        <f>C32*D32</f>
        <v/>
      </c>
    </row>
    <row r="33" ht="20" customHeight="1">
      <c r="A33" s="9" t="inlineStr">
        <is>
          <t>Tools &amp; Inventory</t>
        </is>
      </c>
      <c r="B33" s="9" t="inlineStr">
        <is>
          <t>Wigs, Weaves &amp; Wig Installation Kit (Glues, caps, removers)</t>
        </is>
      </c>
      <c r="C33" s="10" t="n">
        <v>1</v>
      </c>
      <c r="D33" s="11" t="n">
        <v>250</v>
      </c>
      <c r="E33" s="12">
        <f>C33*D33</f>
        <v/>
      </c>
    </row>
    <row r="34" ht="20" customHeight="1">
      <c r="A34" s="13" t="inlineStr">
        <is>
          <t>Tools &amp; Inventory</t>
        </is>
      </c>
      <c r="B34" s="13" t="inlineStr">
        <is>
          <t>Nail Table, Polish Set &amp; Basic Nail Tools</t>
        </is>
      </c>
      <c r="C34" s="14" t="n">
        <v>1</v>
      </c>
      <c r="D34" s="15" t="n">
        <v>150</v>
      </c>
      <c r="E34" s="16">
        <f>C34*D34</f>
        <v/>
      </c>
    </row>
    <row r="35" ht="20" customHeight="1">
      <c r="A35" s="9" t="inlineStr">
        <is>
          <t>Tools &amp; Inventory</t>
        </is>
      </c>
      <c r="B35" s="9" t="inlineStr">
        <is>
          <t>Salon Towels &amp; Client Capes</t>
        </is>
      </c>
      <c r="C35" s="10" t="n">
        <v>20</v>
      </c>
      <c r="D35" s="11" t="n">
        <v>5</v>
      </c>
      <c r="E35" s="12">
        <f>C35*D35</f>
        <v/>
      </c>
    </row>
    <row r="36" ht="22" customHeight="1">
      <c r="A36" s="8" t="inlineStr">
        <is>
          <t>5. Plumbing, Electrical &amp; Interior Setup</t>
        </is>
      </c>
    </row>
    <row r="37" ht="20" customHeight="1">
      <c r="A37" s="13" t="inlineStr">
        <is>
          <t>Facility Setup</t>
        </is>
      </c>
      <c r="B37" s="13" t="inlineStr">
        <is>
          <t>Instant Water Heater Unit</t>
        </is>
      </c>
      <c r="C37" s="14" t="n">
        <v>1</v>
      </c>
      <c r="D37" s="15" t="n">
        <v>120</v>
      </c>
      <c r="E37" s="16">
        <f>C37*D37</f>
        <v/>
      </c>
    </row>
    <row r="38" ht="20" customHeight="1">
      <c r="A38" s="9" t="inlineStr">
        <is>
          <t>Facility Setup</t>
        </is>
      </c>
      <c r="B38" s="9" t="inlineStr">
        <is>
          <t>Plumbing Work &amp; Piping (Sink setup &amp; water connection)</t>
        </is>
      </c>
      <c r="C38" s="10" t="n">
        <v>1</v>
      </c>
      <c r="D38" s="11" t="n">
        <v>250</v>
      </c>
      <c r="E38" s="12">
        <f>C38*D38</f>
        <v/>
      </c>
    </row>
    <row r="39" ht="20" customHeight="1">
      <c r="A39" s="13" t="inlineStr">
        <is>
          <t>Facility Setup</t>
        </is>
      </c>
      <c r="B39" s="13" t="inlineStr">
        <is>
          <t>Heavy-Duty Wiring &amp; Multiple Power Outlets</t>
        </is>
      </c>
      <c r="C39" s="14" t="n">
        <v>1</v>
      </c>
      <c r="D39" s="15" t="n">
        <v>150</v>
      </c>
      <c r="E39" s="16">
        <f>C39*D39</f>
        <v/>
      </c>
    </row>
    <row r="40" ht="20" customHeight="1">
      <c r="A40" s="9" t="inlineStr">
        <is>
          <t>Facility Setup</t>
        </is>
      </c>
      <c r="B40" s="9" t="inlineStr">
        <is>
          <t>Ceiling Fans / Ventilation</t>
        </is>
      </c>
      <c r="C40" s="10" t="n">
        <v>2</v>
      </c>
      <c r="D40" s="11" t="n">
        <v>60</v>
      </c>
      <c r="E40" s="12">
        <f>C40*D40</f>
        <v/>
      </c>
    </row>
    <row r="41" ht="20" customHeight="1">
      <c r="A41" s="13" t="inlineStr">
        <is>
          <t>Facility Setup</t>
        </is>
      </c>
      <c r="B41" s="13" t="inlineStr">
        <is>
          <t>Overhead LED Lighting &amp; Spotlights</t>
        </is>
      </c>
      <c r="C41" s="14" t="n">
        <v>1</v>
      </c>
      <c r="D41" s="15" t="n">
        <v>100</v>
      </c>
      <c r="E41" s="16">
        <f>C41*D41</f>
        <v/>
      </c>
    </row>
    <row r="42" ht="20" customHeight="1">
      <c r="A42" s="9" t="inlineStr">
        <is>
          <t>Facility Setup</t>
        </is>
      </c>
      <c r="B42" s="9" t="inlineStr">
        <is>
          <t>Mobile Rolling Trolleys (for tool storage)</t>
        </is>
      </c>
      <c r="C42" s="10" t="n">
        <v>3</v>
      </c>
      <c r="D42" s="11" t="n">
        <v>45</v>
      </c>
      <c r="E42" s="12">
        <f>C42*D42</f>
        <v/>
      </c>
    </row>
    <row r="43" ht="20" customHeight="1">
      <c r="A43" s="13" t="inlineStr">
        <is>
          <t>Facility Setup</t>
        </is>
      </c>
      <c r="B43" s="13" t="inlineStr">
        <is>
          <t>Tool Sterilizer Cabinet / Barbicide Sanitizing Jars</t>
        </is>
      </c>
      <c r="C43" s="14" t="n">
        <v>1</v>
      </c>
      <c r="D43" s="15" t="n">
        <v>60</v>
      </c>
      <c r="E43" s="16">
        <f>C43*D43</f>
        <v/>
      </c>
    </row>
    <row r="44" ht="20" customHeight="1">
      <c r="A44" s="9" t="inlineStr">
        <is>
          <t>Facility Setup</t>
        </is>
      </c>
      <c r="B44" s="9" t="inlineStr">
        <is>
          <t>Washable Wall Paint &amp; Interior Decor</t>
        </is>
      </c>
      <c r="C44" s="10" t="n">
        <v>1</v>
      </c>
      <c r="D44" s="11" t="n">
        <v>150</v>
      </c>
      <c r="E44" s="12">
        <f>C44*D44</f>
        <v/>
      </c>
    </row>
    <row r="45" ht="25" customHeight="1">
      <c r="A45" s="17" t="inlineStr">
        <is>
          <t>GRAND TOTAL ESTIMATED BUDGET (USD)</t>
        </is>
      </c>
      <c r="B45" s="18" t="n"/>
      <c r="C45" s="18" t="n"/>
      <c r="D45" s="18" t="n"/>
      <c r="E45" s="19">
        <f>SUM(E9:E44)</f>
        <v/>
      </c>
    </row>
  </sheetData>
  <mergeCells count="12">
    <mergeCell ref="A4:B4"/>
    <mergeCell ref="A21:E21"/>
    <mergeCell ref="A45:D45"/>
    <mergeCell ref="A2:E2"/>
    <mergeCell ref="A16:E16"/>
    <mergeCell ref="D5:E6"/>
    <mergeCell ref="A5:B6"/>
    <mergeCell ref="A1:E1"/>
    <mergeCell ref="D4:E4"/>
    <mergeCell ref="A36:E36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</cols>
  <sheetData>
    <row r="1" ht="30" customHeight="1">
      <c r="A1" s="1" t="inlineStr">
        <is>
          <t>BUDGET SUMMARY BY CATEGORY</t>
        </is>
      </c>
    </row>
    <row r="3" ht="24" customHeight="1">
      <c r="A3" s="6" t="inlineStr">
        <is>
          <t>Category</t>
        </is>
      </c>
      <c r="B3" s="7" t="inlineStr">
        <is>
          <t>Subtotal ($)</t>
        </is>
      </c>
      <c r="C3" s="7" t="inlineStr">
        <is>
          <t>% of Budget</t>
        </is>
      </c>
    </row>
    <row r="4" ht="20" customHeight="1">
      <c r="A4" s="20" t="inlineStr">
        <is>
          <t>1. Hair Styling &amp; Client Area</t>
        </is>
      </c>
      <c r="B4" s="21">
        <f>SUM('Startup Quotation'!E10:E15)</f>
        <v/>
      </c>
      <c r="C4" s="22">
        <f>B4/B9</f>
        <v/>
      </c>
    </row>
    <row r="5" ht="20" customHeight="1">
      <c r="A5" s="20" t="inlineStr">
        <is>
          <t>2. Training &amp; Student Setup</t>
        </is>
      </c>
      <c r="B5" s="21">
        <f>SUM('Startup Quotation'!E17:E20)</f>
        <v/>
      </c>
      <c r="C5" s="22">
        <f>B5/B9</f>
        <v/>
      </c>
    </row>
    <row r="6" ht="20" customHeight="1">
      <c r="A6" s="20" t="inlineStr">
        <is>
          <t>3. Dedicated Makeup Station</t>
        </is>
      </c>
      <c r="B6" s="21">
        <f>SUM('Startup Quotation'!E22:E26)</f>
        <v/>
      </c>
      <c r="C6" s="22">
        <f>B6/B9</f>
        <v/>
      </c>
    </row>
    <row r="7" ht="20" customHeight="1">
      <c r="A7" s="20" t="inlineStr">
        <is>
          <t>4. Tools, Consumables &amp; Hair Inventory</t>
        </is>
      </c>
      <c r="B7" s="21">
        <f>SUM('Startup Quotation'!E28:E35)</f>
        <v/>
      </c>
      <c r="C7" s="22">
        <f>B7/B9</f>
        <v/>
      </c>
    </row>
    <row r="8" ht="20" customHeight="1">
      <c r="A8" s="20" t="inlineStr">
        <is>
          <t>5. Plumbing, Electrical &amp; Interior Setup</t>
        </is>
      </c>
      <c r="B8" s="21">
        <f>SUM('Startup Quotation'!E37:E44)</f>
        <v/>
      </c>
      <c r="C8" s="22">
        <f>B8/B9</f>
        <v/>
      </c>
    </row>
    <row r="9">
      <c r="A9" s="23" t="inlineStr">
        <is>
          <t>TOTAL</t>
        </is>
      </c>
      <c r="B9" s="24">
        <f>SUM(B4:B8)</f>
        <v/>
      </c>
      <c r="C9" s="25">
        <f>SUM(C4:C8)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2026-08-03T10:43:56Z</dcterms:created>
  <dcterms:modified xmlns:dcterms="http://purl.org/dc/terms/" xmlns:xsi="http://www.w3.org/2001/XMLSchema-instance" xsi:type="dcterms:W3CDTF">2026-08-03T10:43:56Z</dcterms:modified>
</cp:coreProperties>
</file>