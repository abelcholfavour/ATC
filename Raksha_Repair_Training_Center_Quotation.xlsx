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Quotation" sheetId="1" state="visible" r:id="rId1"/>
    <sheet xmlns:r="http://schemas.openxmlformats.org/officeDocument/2006/relationships" name="Budg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2543D"/>
      <sz val="10"/>
    </font>
    <font>
      <name val="Calibri"/>
      <b val="1"/>
      <color rgb="00744210"/>
      <sz val="10"/>
    </font>
    <font>
      <name val="Calibri"/>
      <b val="1"/>
      <color rgb="00FFFFFF"/>
      <sz val="12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A4365"/>
        <bgColor rgb="002A4365"/>
      </patternFill>
    </fill>
    <fill>
      <patternFill patternType="solid">
        <fgColor rgb="00C6F6D5"/>
        <bgColor rgb="00C6F6D5"/>
      </patternFill>
    </fill>
    <fill>
      <patternFill patternType="solid">
        <fgColor rgb="00F7FAFC"/>
        <bgColor rgb="00F7FAFC"/>
      </patternFill>
    </fill>
    <fill>
      <patternFill patternType="solid">
        <fgColor rgb="00FEFCBF"/>
        <bgColor rgb="00FEFCBF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CBD5E0"/>
      </top>
      <bottom style="double">
        <color rgb="001A365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0" fontId="4" fillId="0" borderId="1" pivotButton="0" quotePrefix="0" xfId="0"/>
    <xf numFmtId="0" fontId="5" fillId="4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5" borderId="1" pivotButton="0" quotePrefix="0" xfId="0"/>
    <xf numFmtId="0" fontId="6" fillId="6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/>
    </xf>
    <xf numFmtId="0" fontId="0" fillId="2" borderId="2" pivotButton="0" quotePrefix="0" xfId="0"/>
    <xf numFmtId="164" fontId="7" fillId="2" borderId="2" applyAlignment="1" pivotButton="0" quotePrefix="0" xfId="0">
      <alignment horizontal="right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0" fontId="8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7" fillId="2" borderId="0" pivotButton="0" quotePrefix="0" xfId="0"/>
    <xf numFmtId="0" fontId="7" fillId="2" borderId="0" applyAlignment="1" pivotButton="0" quotePrefix="0" xfId="0">
      <alignment horizontal="center"/>
    </xf>
    <xf numFmtId="164" fontId="7" fillId="2" borderId="0" applyAlignment="1" pivotButton="0" quotePrefix="0" xfId="0">
      <alignment horizontal="right"/>
    </xf>
    <xf numFmtId="165" fontId="7" fillId="2" borderId="0" applyAlignment="1" pivotButton="0" quotePrefix="0" xfId="0">
      <alignment horizontal="right"/>
    </xf>
    <xf numFmtId="0" fontId="3" fillId="3" borderId="0" pivotButton="0" quotePrefix="0" xfId="0"/>
    <xf numFmtId="0" fontId="3" fillId="3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0" fontId="7" fillId="2" borderId="2" pivotButton="0" quotePrefix="0" xfId="0"/>
    <xf numFmtId="164" fontId="7" fillId="2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Funding Allocation (Must-Have vs. Secondary)</a:t>
            </a:r>
          </a:p>
        </rich>
      </tx>
    </title>
    <plotArea>
      <pieChart>
        <varyColors val="1"/>
        <ser>
          <idx val="0"/>
          <order val="0"/>
          <tx>
            <strRef>
              <f>'Budget 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 Summary'!$A$5:$A$6</f>
            </numRef>
          </cat>
          <val>
            <numRef>
              <f>'Budget Summary'!$C$5:$C$6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by Equipment Category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Summary'!B10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 Summary'!$A$11:$A$16</f>
            </numRef>
          </cat>
          <val>
            <numRef>
              <f>'Budget Summary'!$B$11:$B$16</f>
            </numRef>
          </val>
        </ser>
        <ser>
          <idx val="1"/>
          <order val="1"/>
          <tx>
            <strRef>
              <f>'Budget Summary'!C10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 Summary'!$A$11:$A$16</f>
            </numRef>
          </cat>
          <val>
            <numRef>
              <f>'Budget Summary'!$C$11:$C$16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14" customWidth="1" min="3" max="3"/>
    <col width="8" customWidth="1" min="4" max="4"/>
    <col width="15" customWidth="1" min="5" max="5"/>
    <col width="16" customWidth="1" min="6" max="6"/>
    <col width="55" customWidth="1" min="7" max="7"/>
  </cols>
  <sheetData>
    <row r="1" ht="28" customHeight="1">
      <c r="A1" s="1" t="inlineStr">
        <is>
          <t>RAKSHA (TUK-TUK) REPAIR &amp; TRAINING CENTER</t>
        </is>
      </c>
    </row>
    <row r="2" ht="18" customHeight="1">
      <c r="A2" s="2" t="inlineStr">
        <is>
          <t>Full Budget Quotation &amp; Equipment Requirement List | Currency: USD ($)</t>
        </is>
      </c>
    </row>
    <row r="4" ht="25" customHeight="1">
      <c r="A4" s="3" t="inlineStr">
        <is>
          <t>Category</t>
        </is>
      </c>
      <c r="B4" s="3" t="inlineStr">
        <is>
          <t>Item Description</t>
        </is>
      </c>
      <c r="C4" s="4" t="inlineStr">
        <is>
          <t>Priority</t>
        </is>
      </c>
      <c r="D4" s="4" t="inlineStr">
        <is>
          <t>Qty</t>
        </is>
      </c>
      <c r="E4" s="5" t="inlineStr">
        <is>
          <t>Unit Price ($)</t>
        </is>
      </c>
      <c r="F4" s="5" t="inlineStr">
        <is>
          <t>Total ($)</t>
        </is>
      </c>
      <c r="G4" s="3" t="inlineStr">
        <is>
          <t>Function or Purpose</t>
        </is>
      </c>
    </row>
    <row r="5" ht="22" customHeight="1">
      <c r="A5" s="6" t="inlineStr">
        <is>
          <t>Hand Tools &amp; General Tool Kits</t>
        </is>
      </c>
      <c r="B5" s="6" t="inlineStr">
        <is>
          <t>100-Piece Mechanic Tool Set (Sockets, Ratchets, Spanners, Screwdrivers)</t>
        </is>
      </c>
      <c r="C5" s="7" t="inlineStr">
        <is>
          <t>Must-Have</t>
        </is>
      </c>
      <c r="D5" s="8" t="n">
        <v>2</v>
      </c>
      <c r="E5" s="9" t="n">
        <v>120</v>
      </c>
      <c r="F5" s="9">
        <f>D5*E5</f>
        <v/>
      </c>
      <c r="G5" s="6" t="inlineStr">
        <is>
          <t>Complete foundational kit for general motor assembly, body panels, and engine teardown.</t>
        </is>
      </c>
    </row>
    <row r="6" ht="22" customHeight="1">
      <c r="A6" s="10" t="inlineStr">
        <is>
          <t>Hand Tools &amp; General Tool Kits</t>
        </is>
      </c>
      <c r="B6" s="10" t="inlineStr">
        <is>
          <t>Combination Spanner Set (Metric 8mm - 24mm)</t>
        </is>
      </c>
      <c r="C6" s="7" t="inlineStr">
        <is>
          <t>Must-Have</t>
        </is>
      </c>
      <c r="D6" s="8" t="n">
        <v>2</v>
      </c>
      <c r="E6" s="9" t="n">
        <v>35</v>
      </c>
      <c r="F6" s="9">
        <f>D6*E6</f>
        <v/>
      </c>
      <c r="G6" s="10" t="inlineStr">
        <is>
          <t>Heavy-duty open and ring spanners for chassis, axle bolts, and engine frame mounts.</t>
        </is>
      </c>
    </row>
    <row r="7" ht="22" customHeight="1">
      <c r="A7" s="6" t="inlineStr">
        <is>
          <t>Hand Tools &amp; General Tool Kits</t>
        </is>
      </c>
      <c r="B7" s="6" t="inlineStr">
        <is>
          <t>Adjustable Wrench Set (8", 10", 12")</t>
        </is>
      </c>
      <c r="C7" s="7" t="inlineStr">
        <is>
          <t>Must-Have</t>
        </is>
      </c>
      <c r="D7" s="8" t="n">
        <v>2</v>
      </c>
      <c r="E7" s="9" t="n">
        <v>25</v>
      </c>
      <c r="F7" s="9">
        <f>D7*E7</f>
        <v/>
      </c>
      <c r="G7" s="6" t="inlineStr">
        <is>
          <t>Versatile gripping/turning tool for oversized, square, or non-standard nuts and fittings.</t>
        </is>
      </c>
    </row>
    <row r="8" ht="22" customHeight="1">
      <c r="A8" s="10" t="inlineStr">
        <is>
          <t>Hand Tools &amp; General Tool Kits</t>
        </is>
      </c>
      <c r="B8" s="10" t="inlineStr">
        <is>
          <t>Heavy-Duty Screwdriver Set (Flathead &amp; Phillips)</t>
        </is>
      </c>
      <c r="C8" s="7" t="inlineStr">
        <is>
          <t>Must-Have</t>
        </is>
      </c>
      <c r="D8" s="8" t="n">
        <v>2</v>
      </c>
      <c r="E8" s="9" t="n">
        <v>20</v>
      </c>
      <c r="F8" s="9">
        <f>D8*E8</f>
        <v/>
      </c>
      <c r="G8" s="10" t="inlineStr">
        <is>
          <t>For carburetor tuning, body covers, light assemblies, and electrical switch terminals.</t>
        </is>
      </c>
    </row>
    <row r="9" ht="22" customHeight="1">
      <c r="A9" s="6" t="inlineStr">
        <is>
          <t>Hand Tools &amp; General Tool Kits</t>
        </is>
      </c>
      <c r="B9" s="6" t="inlineStr">
        <is>
          <t>Pliers Set (Combination, Long Nose, Water Pump)</t>
        </is>
      </c>
      <c r="C9" s="7" t="inlineStr">
        <is>
          <t>Must-Have</t>
        </is>
      </c>
      <c r="D9" s="8" t="n">
        <v>2</v>
      </c>
      <c r="E9" s="9" t="n">
        <v>22</v>
      </c>
      <c r="F9" s="9">
        <f>D9*E9</f>
        <v/>
      </c>
      <c r="G9" s="6" t="inlineStr">
        <is>
          <t>Gripping components, bending safety pins, pulling control cables, and wire work.</t>
        </is>
      </c>
    </row>
    <row r="10" ht="22" customHeight="1">
      <c r="A10" s="10" t="inlineStr">
        <is>
          <t>Hand Tools &amp; General Tool Kits</t>
        </is>
      </c>
      <c r="B10" s="10" t="inlineStr">
        <is>
          <t>Allen / Hex Wrench Key Set (Metric 1.5mm - 10mm)</t>
        </is>
      </c>
      <c r="C10" s="7" t="inlineStr">
        <is>
          <t>Must-Have</t>
        </is>
      </c>
      <c r="D10" s="8" t="n">
        <v>2</v>
      </c>
      <c r="E10" s="9" t="n">
        <v>12</v>
      </c>
      <c r="F10" s="9">
        <f>D10*E10</f>
        <v/>
      </c>
      <c r="G10" s="10" t="inlineStr">
        <is>
          <t>Removing internal hex bolts on engine head covers, brake levers, and handlebar clamps.</t>
        </is>
      </c>
    </row>
    <row r="11" ht="22" customHeight="1">
      <c r="A11" s="6" t="inlineStr">
        <is>
          <t>Engine &amp; Mechanical Specialized Tools</t>
        </is>
      </c>
      <c r="B11" s="6" t="inlineStr">
        <is>
          <t>Spark Plug Socket Spanner (16mm &amp; 21mm with T-Bar)</t>
        </is>
      </c>
      <c r="C11" s="7" t="inlineStr">
        <is>
          <t>Must-Have</t>
        </is>
      </c>
      <c r="D11" s="8" t="n">
        <v>3</v>
      </c>
      <c r="E11" s="9" t="n">
        <v>8</v>
      </c>
      <c r="F11" s="9">
        <f>D11*E11</f>
        <v/>
      </c>
      <c r="G11" s="6" t="inlineStr">
        <is>
          <t>Safe removal and replacement of spark plugs without cracking ceramic insulation.</t>
        </is>
      </c>
    </row>
    <row r="12" ht="22" customHeight="1">
      <c r="A12" s="10" t="inlineStr">
        <is>
          <t>Engine &amp; Mechanical Specialized Tools</t>
        </is>
      </c>
      <c r="B12" s="10" t="inlineStr">
        <is>
          <t>Feeler Gauge Blade Set (Metric 0.02mm - 1.00mm)</t>
        </is>
      </c>
      <c r="C12" s="7" t="inlineStr">
        <is>
          <t>Must-Have</t>
        </is>
      </c>
      <c r="D12" s="8" t="n">
        <v>2</v>
      </c>
      <c r="E12" s="9" t="n">
        <v>10</v>
      </c>
      <c r="F12" s="9">
        <f>D12*E12</f>
        <v/>
      </c>
      <c r="G12" s="10" t="inlineStr">
        <is>
          <t>Measuring precise engine valve (tappet) clearances and spark plug electrode gaps.</t>
        </is>
      </c>
    </row>
    <row r="13" ht="22" customHeight="1">
      <c r="A13" s="6" t="inlineStr">
        <is>
          <t>Engine &amp; Mechanical Specialized Tools</t>
        </is>
      </c>
      <c r="B13" s="6" t="inlineStr">
        <is>
          <t>Circlip / Snap Ring Pliers Set (Internal &amp; External)</t>
        </is>
      </c>
      <c r="C13" s="7" t="inlineStr">
        <is>
          <t>Must-Have</t>
        </is>
      </c>
      <c r="D13" s="8" t="n">
        <v>2</v>
      </c>
      <c r="E13" s="9" t="n">
        <v>18</v>
      </c>
      <c r="F13" s="9">
        <f>D13*E13</f>
        <v/>
      </c>
      <c r="G13" s="6" t="inlineStr">
        <is>
          <t>Removing retaining rings in gearboxes, wheel hubs, clutches, and brake pistons.</t>
        </is>
      </c>
    </row>
    <row r="14" ht="22" customHeight="1">
      <c r="A14" s="10" t="inlineStr">
        <is>
          <t>Engine &amp; Mechanical Specialized Tools</t>
        </is>
      </c>
      <c r="B14" s="10" t="inlineStr">
        <is>
          <t>Drive Chain Breaker &amp; Repair Tool</t>
        </is>
      </c>
      <c r="C14" s="11" t="inlineStr">
        <is>
          <t>Secondary</t>
        </is>
      </c>
      <c r="D14" s="8" t="n">
        <v>1</v>
      </c>
      <c r="E14" s="9" t="n">
        <v>25</v>
      </c>
      <c r="F14" s="9">
        <f>D14*E14</f>
        <v/>
      </c>
      <c r="G14" s="10" t="inlineStr">
        <is>
          <t>Sizing, removing, and installing drive chains safely on chain-driven Rakshas.</t>
        </is>
      </c>
    </row>
    <row r="15" ht="22" customHeight="1">
      <c r="A15" s="6" t="inlineStr">
        <is>
          <t>Engine &amp; Mechanical Specialized Tools</t>
        </is>
      </c>
      <c r="B15" s="6" t="inlineStr">
        <is>
          <t>Oil Filter Wrench / Strap Removal Tool</t>
        </is>
      </c>
      <c r="C15" s="7" t="inlineStr">
        <is>
          <t>Must-Have</t>
        </is>
      </c>
      <c r="D15" s="8" t="n">
        <v>2</v>
      </c>
      <c r="E15" s="9" t="n">
        <v>12</v>
      </c>
      <c r="F15" s="9">
        <f>D15*E15</f>
        <v/>
      </c>
      <c r="G15" s="6" t="inlineStr">
        <is>
          <t>Removing spin-on oil filters during scheduled engine maintenance.</t>
        </is>
      </c>
    </row>
    <row r="16" ht="22" customHeight="1">
      <c r="A16" s="10" t="inlineStr">
        <is>
          <t>Engine &amp; Mechanical Specialized Tools</t>
        </is>
      </c>
      <c r="B16" s="10" t="inlineStr">
        <is>
          <t>Torque Wrench (1/2" Drive, 20-150 ft-lb)</t>
        </is>
      </c>
      <c r="C16" s="11" t="inlineStr">
        <is>
          <t>Secondary</t>
        </is>
      </c>
      <c r="D16" s="8" t="n">
        <v>1</v>
      </c>
      <c r="E16" s="9" t="n">
        <v>65</v>
      </c>
      <c r="F16" s="9">
        <f>D16*E16</f>
        <v/>
      </c>
      <c r="G16" s="10" t="inlineStr">
        <is>
          <t>Tightening engine cylinder head bolts and wheel axle nuts to precise safety torque spec.</t>
        </is>
      </c>
    </row>
    <row r="17" ht="22" customHeight="1">
      <c r="A17" s="6" t="inlineStr">
        <is>
          <t>Brake, Wheel &amp; Suspension Tools</t>
        </is>
      </c>
      <c r="B17" s="6" t="inlineStr">
        <is>
          <t>Heavy-Duty Tire Levers / Irons (Set of 3)</t>
        </is>
      </c>
      <c r="C17" s="7" t="inlineStr">
        <is>
          <t>Must-Have</t>
        </is>
      </c>
      <c r="D17" s="8" t="n">
        <v>2</v>
      </c>
      <c r="E17" s="9" t="n">
        <v>18</v>
      </c>
      <c r="F17" s="9">
        <f>D17*E17</f>
        <v/>
      </c>
      <c r="G17" s="6" t="inlineStr">
        <is>
          <t>Dismounting and installing tires on wheel rims during tube and flat repairs.</t>
        </is>
      </c>
    </row>
    <row r="18" ht="22" customHeight="1">
      <c r="A18" s="10" t="inlineStr">
        <is>
          <t>Brake, Wheel &amp; Suspension Tools</t>
        </is>
      </c>
      <c r="B18" s="10" t="inlineStr">
        <is>
          <t>Hydraulic Brake Bleeder Kit &amp; Hose Set</t>
        </is>
      </c>
      <c r="C18" s="7" t="inlineStr">
        <is>
          <t>Must-Have</t>
        </is>
      </c>
      <c r="D18" s="8" t="n">
        <v>2</v>
      </c>
      <c r="E18" s="9" t="n">
        <v>20</v>
      </c>
      <c r="F18" s="9">
        <f>D18*E18</f>
        <v/>
      </c>
      <c r="G18" s="10" t="inlineStr">
        <is>
          <t>Flushing old brake fluid and purging air bubbles from hydraulic brake systems.</t>
        </is>
      </c>
    </row>
    <row r="19" ht="22" customHeight="1">
      <c r="A19" s="6" t="inlineStr">
        <is>
          <t>Brake, Wheel &amp; Suspension Tools</t>
        </is>
      </c>
      <c r="B19" s="6" t="inlineStr">
        <is>
          <t>Universal Wheel Hub &amp; Bearing Puller</t>
        </is>
      </c>
      <c r="C19" s="11" t="inlineStr">
        <is>
          <t>Secondary</t>
        </is>
      </c>
      <c r="D19" s="8" t="n">
        <v>1</v>
      </c>
      <c r="E19" s="9" t="n">
        <v>45</v>
      </c>
      <c r="F19" s="9">
        <f>D19*E19</f>
        <v/>
      </c>
      <c r="G19" s="6" t="inlineStr">
        <is>
          <t>Extracting rusted wheel bearings, axle shafts, and flywheel hubs without damage.</t>
        </is>
      </c>
    </row>
    <row r="20" ht="22" customHeight="1">
      <c r="A20" s="10" t="inlineStr">
        <is>
          <t>Electrical &amp; Fuel System Diagnostics</t>
        </is>
      </c>
      <c r="B20" s="10" t="inlineStr">
        <is>
          <t>Digital Multimeter (Auto-Ranging with Probes)</t>
        </is>
      </c>
      <c r="C20" s="7" t="inlineStr">
        <is>
          <t>Must-Have</t>
        </is>
      </c>
      <c r="D20" s="8" t="n">
        <v>2</v>
      </c>
      <c r="E20" s="9" t="n">
        <v>30</v>
      </c>
      <c r="F20" s="9">
        <f>D20*E20</f>
        <v/>
      </c>
      <c r="G20" s="10" t="inlineStr">
        <is>
          <t>Testing battery voltage, stator/charging output, starter relay, lights, and wiring.</t>
        </is>
      </c>
    </row>
    <row r="21" ht="22" customHeight="1">
      <c r="A21" s="6" t="inlineStr">
        <is>
          <t>Electrical &amp; Fuel System Diagnostics</t>
        </is>
      </c>
      <c r="B21" s="6" t="inlineStr">
        <is>
          <t>Wire Stripper, Cutter &amp; Terminal Crimp Tool</t>
        </is>
      </c>
      <c r="C21" s="7" t="inlineStr">
        <is>
          <t>Must-Have</t>
        </is>
      </c>
      <c r="D21" s="8" t="n">
        <v>2</v>
      </c>
      <c r="E21" s="9" t="n">
        <v>18</v>
      </c>
      <c r="F21" s="9">
        <f>D21*E21</f>
        <v/>
      </c>
      <c r="G21" s="6" t="inlineStr">
        <is>
          <t>Repairing wiring harnesses, making battery cable leads, crimping terminal lugs.</t>
        </is>
      </c>
    </row>
    <row r="22" ht="22" customHeight="1">
      <c r="A22" s="10" t="inlineStr">
        <is>
          <t>Electrical &amp; Fuel System Diagnostics</t>
        </is>
      </c>
      <c r="B22" s="10" t="inlineStr">
        <is>
          <t>Carburetor Jet Cleaning Needles &amp; Spray Kit</t>
        </is>
      </c>
      <c r="C22" s="7" t="inlineStr">
        <is>
          <t>Must-Have</t>
        </is>
      </c>
      <c r="D22" s="8" t="n">
        <v>3</v>
      </c>
      <c r="E22" s="9" t="n">
        <v>15</v>
      </c>
      <c r="F22" s="9">
        <f>D22*E22</f>
        <v/>
      </c>
      <c r="G22" s="10" t="inlineStr">
        <is>
          <t>Unclogging small jets and emulsion tubes in carburetors to solve starting issues.</t>
        </is>
      </c>
    </row>
    <row r="23" ht="22" customHeight="1">
      <c r="A23" s="6" t="inlineStr">
        <is>
          <t>Workshop Lifting &amp; Maintenance Equipment</t>
        </is>
      </c>
      <c r="B23" s="6" t="inlineStr">
        <is>
          <t>Hydraulic Bottle Jack (3-Ton Capacity)</t>
        </is>
      </c>
      <c r="C23" s="7" t="inlineStr">
        <is>
          <t>Must-Have</t>
        </is>
      </c>
      <c r="D23" s="8" t="n">
        <v>2</v>
      </c>
      <c r="E23" s="9" t="n">
        <v>35</v>
      </c>
      <c r="F23" s="9">
        <f>D23*E23</f>
        <v/>
      </c>
      <c r="G23" s="6" t="inlineStr">
        <is>
          <t>Lifting the Raksha frame safely to enable wheel, brake, and underbody work.</t>
        </is>
      </c>
    </row>
    <row r="24" ht="22" customHeight="1">
      <c r="A24" s="10" t="inlineStr">
        <is>
          <t>Workshop Lifting &amp; Maintenance Equipment</t>
        </is>
      </c>
      <c r="B24" s="10" t="inlineStr">
        <is>
          <t>Heavy-Duty Axle Support Stands (Pair)</t>
        </is>
      </c>
      <c r="C24" s="7" t="inlineStr">
        <is>
          <t>Must-Have</t>
        </is>
      </c>
      <c r="D24" s="8" t="n">
        <v>2</v>
      </c>
      <c r="E24" s="9" t="n">
        <v>40</v>
      </c>
      <c r="F24" s="9">
        <f>D24*E24</f>
        <v/>
      </c>
      <c r="G24" s="10" t="inlineStr">
        <is>
          <t>Securing lifted vehicles safely during practical training sessions and long repairs.</t>
        </is>
      </c>
    </row>
    <row r="25" ht="22" customHeight="1">
      <c r="A25" s="6" t="inlineStr">
        <is>
          <t>Workshop Lifting &amp; Maintenance Equipment</t>
        </is>
      </c>
      <c r="B25" s="6" t="inlineStr">
        <is>
          <t>Oil Catch Drain Pan &amp; Funnel Set</t>
        </is>
      </c>
      <c r="C25" s="7" t="inlineStr">
        <is>
          <t>Must-Have</t>
        </is>
      </c>
      <c r="D25" s="8" t="n">
        <v>3</v>
      </c>
      <c r="E25" s="9" t="n">
        <v>12</v>
      </c>
      <c r="F25" s="9">
        <f>D25*E25</f>
        <v/>
      </c>
      <c r="G25" s="6" t="inlineStr">
        <is>
          <t>Draining engine oil and transmission fluid cleanly without workspace pollution.</t>
        </is>
      </c>
    </row>
    <row r="26" ht="22" customHeight="1">
      <c r="A26" s="10" t="inlineStr">
        <is>
          <t>Workshop Lifting &amp; Maintenance Equipment</t>
        </is>
      </c>
      <c r="B26" s="10" t="inlineStr">
        <is>
          <t>High-Pressure Manual Grease Gun</t>
        </is>
      </c>
      <c r="C26" s="7" t="inlineStr">
        <is>
          <t>Must-Have</t>
        </is>
      </c>
      <c r="D26" s="8" t="n">
        <v>2</v>
      </c>
      <c r="E26" s="9" t="n">
        <v>22</v>
      </c>
      <c r="F26" s="9">
        <f>D26*E26</f>
        <v/>
      </c>
      <c r="G26" s="10" t="inlineStr">
        <is>
          <t>Greasing steering columns, suspension joints, and drive shaft nipples.</t>
        </is>
      </c>
    </row>
    <row r="27" ht="22" customHeight="1">
      <c r="A27" s="6" t="inlineStr">
        <is>
          <t>Workshop Lifting &amp; Maintenance Equipment</t>
        </is>
      </c>
      <c r="B27" s="6" t="inlineStr">
        <is>
          <t>Portable Air Compressor &amp; Pressure Gauge</t>
        </is>
      </c>
      <c r="C27" s="11" t="inlineStr">
        <is>
          <t>Secondary</t>
        </is>
      </c>
      <c r="D27" s="8" t="n">
        <v>1</v>
      </c>
      <c r="E27" s="9" t="n">
        <v>110</v>
      </c>
      <c r="F27" s="9">
        <f>D27*E27</f>
        <v/>
      </c>
      <c r="G27" s="6" t="inlineStr">
        <is>
          <t>Inflating tires to exact PSI and blowing dirt out of carburetors and engine parts.</t>
        </is>
      </c>
    </row>
    <row r="28" ht="22" customHeight="1">
      <c r="A28" s="10" t="inlineStr">
        <is>
          <t>Startup Vehicle &amp; Training Assets</t>
        </is>
      </c>
      <c r="B28" s="10" t="inlineStr">
        <is>
          <t>Training Raksha / Tuk-Tuk Vehicle (Used with Papers)</t>
        </is>
      </c>
      <c r="C28" s="7" t="inlineStr">
        <is>
          <t>Must-Have</t>
        </is>
      </c>
      <c r="D28" s="8" t="n">
        <v>1</v>
      </c>
      <c r="E28" s="9" t="n">
        <v>1500</v>
      </c>
      <c r="F28" s="9">
        <f>D28*E28</f>
        <v/>
      </c>
      <c r="G28" s="10" t="inlineStr">
        <is>
          <t>Primary hands-on training asset for students to dismantle, diagnose, repair, and rebuild.</t>
        </is>
      </c>
    </row>
    <row r="29" ht="22" customHeight="1">
      <c r="A29" s="6" t="inlineStr">
        <is>
          <t>Startup Vehicle &amp; Training Assets</t>
        </is>
      </c>
      <c r="B29" s="6" t="inlineStr">
        <is>
          <t>Initial Workshop Consumables (Oil, Fluids, Solvents, Parts)</t>
        </is>
      </c>
      <c r="C29" s="7" t="inlineStr">
        <is>
          <t>Must-Have</t>
        </is>
      </c>
      <c r="D29" s="8" t="n">
        <v>1</v>
      </c>
      <c r="E29" s="9" t="n">
        <v>150</v>
      </c>
      <c r="F29" s="9">
        <f>D29*E29</f>
        <v/>
      </c>
      <c r="G29" s="6" t="inlineStr">
        <is>
          <t>4T engine oil, gear oil, brake fluid, grease, spark plugs, patch kits, and shop towels.</t>
        </is>
      </c>
    </row>
    <row r="30" ht="26" customHeight="1">
      <c r="A30" s="12" t="inlineStr">
        <is>
          <t>GRAND TOTAL (ALL ITEMS)</t>
        </is>
      </c>
      <c r="B30" s="13" t="n"/>
      <c r="C30" s="13" t="n"/>
      <c r="D30" s="13" t="n"/>
      <c r="E30" s="13" t="n"/>
      <c r="F30" s="14">
        <f>SUM(F5:F29)</f>
        <v/>
      </c>
      <c r="G30" s="13" t="inlineStr"/>
    </row>
  </sheetData>
  <mergeCells count="3">
    <mergeCell ref="A30:E30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5" customWidth="1" min="5" max="5"/>
  </cols>
  <sheetData>
    <row r="1" ht="28" customHeight="1">
      <c r="A1" s="1" t="inlineStr">
        <is>
          <t>RAKSHA TRAINING CENTER - FINANCIAL SUMMARY</t>
        </is>
      </c>
    </row>
    <row r="2" ht="18" customHeight="1">
      <c r="A2" s="2" t="inlineStr">
        <is>
          <t>Cost Breakdown by Priority &amp; Category</t>
        </is>
      </c>
    </row>
    <row r="4">
      <c r="A4" s="15" t="inlineStr">
        <is>
          <t>Priority Level</t>
        </is>
      </c>
      <c r="B4" s="16" t="inlineStr">
        <is>
          <t>Item Count</t>
        </is>
      </c>
      <c r="C4" s="17" t="inlineStr">
        <is>
          <t>Total Cost ($)</t>
        </is>
      </c>
      <c r="D4" s="17" t="inlineStr">
        <is>
          <t>% of Total</t>
        </is>
      </c>
    </row>
    <row r="5">
      <c r="A5" s="18" t="inlineStr">
        <is>
          <t>Must-Have / Essential Startup</t>
        </is>
      </c>
      <c r="B5" s="19">
        <f>COUNTIF('Equipment Quotation'!C5:C29, "Must-Have")</f>
        <v/>
      </c>
      <c r="C5" s="20">
        <f>SUMIF('Equipment Quotation'!C5:C29, "Must-Have", 'Equipment Quotation'!F5:F29)</f>
        <v/>
      </c>
      <c r="D5" s="21">
        <f>C5/$C$7</f>
        <v/>
      </c>
    </row>
    <row r="6">
      <c r="A6" s="18" t="inlineStr">
        <is>
          <t>Secondary / Expansion Tools</t>
        </is>
      </c>
      <c r="B6" s="19">
        <f>COUNTIF('Equipment Quotation'!C5:C29, "Secondary")</f>
        <v/>
      </c>
      <c r="C6" s="20">
        <f>SUMIF('Equipment Quotation'!C5:C29, "Secondary", 'Equipment Quotation'!F5:F29)</f>
        <v/>
      </c>
      <c r="D6" s="21">
        <f>C6/$C$7</f>
        <v/>
      </c>
    </row>
    <row r="7">
      <c r="A7" s="22" t="inlineStr">
        <is>
          <t>Total Startup Investment</t>
        </is>
      </c>
      <c r="B7" s="23">
        <f>SUM(B5:B6)</f>
        <v/>
      </c>
      <c r="C7" s="24">
        <f>SUM(C5:C6)</f>
        <v/>
      </c>
      <c r="D7" s="25">
        <f>SUM(D5:D6)</f>
        <v/>
      </c>
    </row>
    <row r="10">
      <c r="A10" s="26" t="inlineStr">
        <is>
          <t>Category Breakdown</t>
        </is>
      </c>
      <c r="B10" s="27" t="inlineStr">
        <is>
          <t>Must-Have ($)</t>
        </is>
      </c>
      <c r="C10" s="27" t="inlineStr">
        <is>
          <t>Secondary ($)</t>
        </is>
      </c>
      <c r="D10" s="27" t="inlineStr">
        <is>
          <t>Category Total ($)</t>
        </is>
      </c>
    </row>
    <row r="11">
      <c r="A11" s="18" t="inlineStr">
        <is>
          <t>Hand Tools &amp; General Tool Kits</t>
        </is>
      </c>
      <c r="B11" s="20">
        <f>SUMIFS('Equipment Quotation'!F5:F29, 'Equipment Quotation'!A5:A29, A11, 'Equipment Quotation'!C5:C29, "Must-Have")</f>
        <v/>
      </c>
      <c r="C11" s="20">
        <f>SUMIFS('Equipment Quotation'!F5:F29, 'Equipment Quotation'!A5:A29, A11, 'Equipment Quotation'!C5:C29, "Secondary")</f>
        <v/>
      </c>
      <c r="D11" s="28">
        <f>SUM(B11:C11)</f>
        <v/>
      </c>
    </row>
    <row r="12">
      <c r="A12" s="18" t="inlineStr">
        <is>
          <t>Engine &amp; Mechanical Specialized Tools</t>
        </is>
      </c>
      <c r="B12" s="20">
        <f>SUMIFS('Equipment Quotation'!F5:F29, 'Equipment Quotation'!A5:A29, A12, 'Equipment Quotation'!C5:C29, "Must-Have")</f>
        <v/>
      </c>
      <c r="C12" s="20">
        <f>SUMIFS('Equipment Quotation'!F5:F29, 'Equipment Quotation'!A5:A29, A12, 'Equipment Quotation'!C5:C29, "Secondary")</f>
        <v/>
      </c>
      <c r="D12" s="28">
        <f>SUM(B12:C12)</f>
        <v/>
      </c>
    </row>
    <row r="13">
      <c r="A13" s="18" t="inlineStr">
        <is>
          <t>Brake, Wheel &amp; Suspension Tools</t>
        </is>
      </c>
      <c r="B13" s="20">
        <f>SUMIFS('Equipment Quotation'!F5:F29, 'Equipment Quotation'!A5:A29, A13, 'Equipment Quotation'!C5:C29, "Must-Have")</f>
        <v/>
      </c>
      <c r="C13" s="20">
        <f>SUMIFS('Equipment Quotation'!F5:F29, 'Equipment Quotation'!A5:A29, A13, 'Equipment Quotation'!C5:C29, "Secondary")</f>
        <v/>
      </c>
      <c r="D13" s="28">
        <f>SUM(B13:C13)</f>
        <v/>
      </c>
    </row>
    <row r="14">
      <c r="A14" s="18" t="inlineStr">
        <is>
          <t>Electrical &amp; Fuel System Diagnostics</t>
        </is>
      </c>
      <c r="B14" s="20">
        <f>SUMIFS('Equipment Quotation'!F5:F29, 'Equipment Quotation'!A5:A29, A14, 'Equipment Quotation'!C5:C29, "Must-Have")</f>
        <v/>
      </c>
      <c r="C14" s="20">
        <f>SUMIFS('Equipment Quotation'!F5:F29, 'Equipment Quotation'!A5:A29, A14, 'Equipment Quotation'!C5:C29, "Secondary")</f>
        <v/>
      </c>
      <c r="D14" s="28">
        <f>SUM(B14:C14)</f>
        <v/>
      </c>
    </row>
    <row r="15">
      <c r="A15" s="18" t="inlineStr">
        <is>
          <t>Workshop Lifting &amp; Maintenance Equipment</t>
        </is>
      </c>
      <c r="B15" s="20">
        <f>SUMIFS('Equipment Quotation'!F5:F29, 'Equipment Quotation'!A5:A29, A15, 'Equipment Quotation'!C5:C29, "Must-Have")</f>
        <v/>
      </c>
      <c r="C15" s="20">
        <f>SUMIFS('Equipment Quotation'!F5:F29, 'Equipment Quotation'!A5:A29, A15, 'Equipment Quotation'!C5:C29, "Secondary")</f>
        <v/>
      </c>
      <c r="D15" s="28">
        <f>SUM(B15:C15)</f>
        <v/>
      </c>
    </row>
    <row r="16">
      <c r="A16" s="18" t="inlineStr">
        <is>
          <t>Startup Vehicle &amp; Training Assets</t>
        </is>
      </c>
      <c r="B16" s="20">
        <f>SUMIFS('Equipment Quotation'!F5:F29, 'Equipment Quotation'!A5:A29, A16, 'Equipment Quotation'!C5:C29, "Must-Have")</f>
        <v/>
      </c>
      <c r="C16" s="20">
        <f>SUMIFS('Equipment Quotation'!F5:F29, 'Equipment Quotation'!A5:A29, A16, 'Equipment Quotation'!C5:C29, "Secondary")</f>
        <v/>
      </c>
      <c r="D16" s="28">
        <f>SUM(B16:C16)</f>
        <v/>
      </c>
    </row>
    <row r="17">
      <c r="A17" s="29" t="inlineStr">
        <is>
          <t>Total Category Sum</t>
        </is>
      </c>
      <c r="B17" s="30">
        <f>SUM(B11:B16)</f>
        <v/>
      </c>
      <c r="C17" s="30">
        <f>SUM(C11:C16)</f>
        <v/>
      </c>
      <c r="D17" s="30">
        <f>SUM(D11:D16)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2026-08-03T11:06:01Z</dcterms:created>
  <dcterms:modified xmlns:dcterms="http://purl.org/dc/terms/" xmlns:xsi="http://www.w3.org/2001/XMLSchema-instance" xsi:type="dcterms:W3CDTF">2026-08-03T11:06:01Z</dcterms:modified>
</cp:coreProperties>
</file>