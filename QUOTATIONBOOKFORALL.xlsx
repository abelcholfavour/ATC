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ATC\"/>
    </mc:Choice>
  </mc:AlternateContent>
  <xr:revisionPtr revIDLastSave="0" documentId="13_ncr:1_{36A8C0D8-A21C-4575-9C9D-6E82D1178EA0}" xr6:coauthVersionLast="47" xr6:coauthVersionMax="47" xr10:uidLastSave="{00000000-0000-0000-0000-000000000000}"/>
  <bookViews>
    <workbookView xWindow="-110" yWindow="-110" windowWidth="19420" windowHeight="10300" activeTab="1" xr2:uid="{B4E8775B-89D1-47D3-BD7A-C442E91127AA}"/>
  </bookViews>
  <sheets>
    <sheet name="Startup Quotation" sheetId="2" r:id="rId1"/>
    <sheet name="Equipment Quotation" sheetId="3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3" l="1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E39" i="2"/>
  <c r="E38" i="2"/>
  <c r="E37" i="2"/>
  <c r="E36" i="2"/>
  <c r="E35" i="2"/>
  <c r="E34" i="2"/>
  <c r="E33" i="2"/>
  <c r="E32" i="2"/>
  <c r="E30" i="2"/>
  <c r="E29" i="2"/>
  <c r="E28" i="2"/>
  <c r="E27" i="2"/>
  <c r="E26" i="2"/>
  <c r="E25" i="2"/>
  <c r="E24" i="2"/>
  <c r="E23" i="2"/>
  <c r="E21" i="2"/>
  <c r="E20" i="2"/>
  <c r="E19" i="2"/>
  <c r="E18" i="2"/>
  <c r="E17" i="2"/>
  <c r="E15" i="2"/>
  <c r="E14" i="2"/>
  <c r="E13" i="2"/>
  <c r="E12" i="2"/>
  <c r="E10" i="2"/>
  <c r="E9" i="2"/>
  <c r="E8" i="2"/>
  <c r="E7" i="2"/>
  <c r="E6" i="2"/>
  <c r="E5" i="2"/>
  <c r="E40" i="2" l="1"/>
  <c r="F30" i="3"/>
</calcChain>
</file>

<file path=xl/sharedStrings.xml><?xml version="1.0" encoding="utf-8"?>
<sst xmlns="http://schemas.openxmlformats.org/spreadsheetml/2006/main" count="326" uniqueCount="206">
  <si>
    <t>Category</t>
  </si>
  <si>
    <t>Item Description</t>
  </si>
  <si>
    <t>Qty</t>
  </si>
  <si>
    <t>Unit Cost ($)</t>
  </si>
  <si>
    <t>Total Amount ($)</t>
  </si>
  <si>
    <t>1. Hair Styling &amp; Client Area</t>
  </si>
  <si>
    <t>Hair Styling</t>
  </si>
  <si>
    <t>Professional Hydraulic Styling Chairs</t>
  </si>
  <si>
    <t>Large Styling Mirrors (with LED backlights)</t>
  </si>
  <si>
    <t>Shampoo Wash Basin Unit (Backwash System)</t>
  </si>
  <si>
    <t>Standing / Hooded Hair Dryer &amp; Steamer</t>
  </si>
  <si>
    <t>Professional Blow Dryers</t>
  </si>
  <si>
    <t>Hot Comb Machines &amp; Flat Irons</t>
  </si>
  <si>
    <t>2. Training &amp; Student Setup</t>
  </si>
  <si>
    <t>Training</t>
  </si>
  <si>
    <t>Practice Mannequin Heads (Dolls for Practice)</t>
  </si>
  <si>
    <t>Table Clamps &amp; Floor Stands for Dolls</t>
  </si>
  <si>
    <t>Whiteboard &amp; Marker Pack</t>
  </si>
  <si>
    <t>Student Practice Tables / Desks</t>
  </si>
  <si>
    <t>3. Dedicated Makeup Station</t>
  </si>
  <si>
    <t>Makeup</t>
  </si>
  <si>
    <t>Professional Vanity Makeup Table + Hollywood Mirror</t>
  </si>
  <si>
    <t>Adjustable High-Angle Makeup Chair / Stool</t>
  </si>
  <si>
    <t>Ring Light (for detailed makeup &amp; student photos)</t>
  </si>
  <si>
    <t>Starter Professional Makeup Kit (Foundations, palettes, brushes)</t>
  </si>
  <si>
    <t>Disposable Applicators, Sponges &amp; Brush Cleaners</t>
  </si>
  <si>
    <t>4. Tools, Consumables &amp; Hair Inventory</t>
  </si>
  <si>
    <t>Tools &amp; Inventory</t>
  </si>
  <si>
    <t>Professional Comb Sets (Tail, wide-tooth, cutting)</t>
  </si>
  <si>
    <t>Professional Hair Cutting Shears &amp; Clippers</t>
  </si>
  <si>
    <t>Hair Relaxers, Treatments &amp; Dyes Stock</t>
  </si>
  <si>
    <t>Hair Foods, Oils, Sprays &amp; Cosmetics Stock</t>
  </si>
  <si>
    <t>Braiding Hair Bundles (Synthetic &amp; Human Hair stock)</t>
  </si>
  <si>
    <t>Wigs, Weaves &amp; Wig Installation Kit (Glues, caps, removers)</t>
  </si>
  <si>
    <t>Nail Table, Polish Set &amp; Basic Nail Tools</t>
  </si>
  <si>
    <t>Salon Towels &amp; Client Capes</t>
  </si>
  <si>
    <t>5. Plumbing, Electrical &amp; Interior Setup</t>
  </si>
  <si>
    <t>Facility Setup</t>
  </si>
  <si>
    <t>Instant Water Heater Unit</t>
  </si>
  <si>
    <t>Plumbing Work &amp; Piping (Sink setup &amp; water connection)</t>
  </si>
  <si>
    <t>Heavy-Duty Wiring &amp; Multiple Power Outlets</t>
  </si>
  <si>
    <t>Ceiling Fans / Ventilation</t>
  </si>
  <si>
    <t>Overhead LED Lighting &amp; Spotlights</t>
  </si>
  <si>
    <t>Mobile Rolling Trolleys (for tool storage)</t>
  </si>
  <si>
    <t>Tool Sterilizer Cabinet / Barbicide Sanitizing Jars</t>
  </si>
  <si>
    <t>Washable Wall Paint &amp; Interior Decor</t>
  </si>
  <si>
    <t>GRAND TOTAL ESTIMATED BUDGET (USD)</t>
  </si>
  <si>
    <t>Full Budget Quotation &amp; Equipment Requirement List | Currency: USD ($)</t>
  </si>
  <si>
    <t>Priority</t>
  </si>
  <si>
    <t>Unit Price ($)</t>
  </si>
  <si>
    <t>Total ($)</t>
  </si>
  <si>
    <t>Function or Purpose</t>
  </si>
  <si>
    <t>Hand Tools &amp; General Tool Kits</t>
  </si>
  <si>
    <t>100-Piece Mechanic Tool Set (Sockets, Ratchets, Spanners, Screwdrivers)</t>
  </si>
  <si>
    <t>Must-Have</t>
  </si>
  <si>
    <t>Complete foundational kit for general motor assembly, body panels, and engine teardown.</t>
  </si>
  <si>
    <t>Combination Spanner Set (Metric 8mm - 24mm)</t>
  </si>
  <si>
    <t>Heavy-duty open and ring spanners for chassis, axle bolts, and engine frame mounts.</t>
  </si>
  <si>
    <t>Adjustable Wrench Set (8", 10", 12")</t>
  </si>
  <si>
    <t>Versatile gripping/turning tool for oversized, square, or non-standard nuts and fittings.</t>
  </si>
  <si>
    <t>Heavy-Duty Screwdriver Set (Flathead &amp; Phillips)</t>
  </si>
  <si>
    <t>For carburetor tuning, body covers, light assemblies, and electrical switch terminals.</t>
  </si>
  <si>
    <t>Pliers Set (Combination, Long Nose, Water Pump)</t>
  </si>
  <si>
    <t>Gripping components, bending safety pins, pulling control cables, and wire work.</t>
  </si>
  <si>
    <t>Allen / Hex Wrench Key Set (Metric 1.5mm - 10mm)</t>
  </si>
  <si>
    <t>Removing internal hex bolts on engine head covers, brake levers, and handlebar clamps.</t>
  </si>
  <si>
    <t>Engine &amp; Mechanical Specialized Tools</t>
  </si>
  <si>
    <t>Spark Plug Socket Spanner (16mm &amp; 21mm with T-Bar)</t>
  </si>
  <si>
    <t>Safe removal and replacement of spark plugs without cracking ceramic insulation.</t>
  </si>
  <si>
    <t>Feeler Gauge Blade Set (Metric 0.02mm - 1.00mm)</t>
  </si>
  <si>
    <t>Measuring precise engine valve (tappet) clearances and spark plug electrode gaps.</t>
  </si>
  <si>
    <t>Circlip / Snap Ring Pliers Set (Internal &amp; External)</t>
  </si>
  <si>
    <t>Removing retaining rings in gearboxes, wheel hubs, clutches, and brake pistons.</t>
  </si>
  <si>
    <t>Drive Chain Breaker &amp; Repair Tool</t>
  </si>
  <si>
    <t>Secondary</t>
  </si>
  <si>
    <t>Sizing, removing, and installing drive chains safely on chain-driven Rakshas.</t>
  </si>
  <si>
    <t>Oil Filter Wrench / Strap Removal Tool</t>
  </si>
  <si>
    <t>Removing spin-on oil filters during scheduled engine maintenance.</t>
  </si>
  <si>
    <t>Torque Wrench (1/2" Drive, 20-150 ft-lb)</t>
  </si>
  <si>
    <t>Tightening engine cylinder head bolts and wheel axle nuts to precise safety torque spec.</t>
  </si>
  <si>
    <t>Brake, Wheel &amp; Suspension Tools</t>
  </si>
  <si>
    <t>Heavy-Duty Tire Levers / Irons (Set of 3)</t>
  </si>
  <si>
    <t>Dismounting and installing tires on wheel rims during tube and flat repairs.</t>
  </si>
  <si>
    <t>Hydraulic Brake Bleeder Kit &amp; Hose Set</t>
  </si>
  <si>
    <t>Flushing old brake fluid and purging air bubbles from hydraulic brake systems.</t>
  </si>
  <si>
    <t>Universal Wheel Hub &amp; Bearing Puller</t>
  </si>
  <si>
    <t>Extracting rusted wheel bearings, axle shafts, and flywheel hubs without damage.</t>
  </si>
  <si>
    <t>Electrical &amp; Fuel System Diagnostics</t>
  </si>
  <si>
    <t>Digital Multimeter (Auto-Ranging with Probes)</t>
  </si>
  <si>
    <t>Testing battery voltage, stator/charging output, starter relay, lights, and wiring.</t>
  </si>
  <si>
    <t>Wire Stripper, Cutter &amp; Terminal Crimp Tool</t>
  </si>
  <si>
    <t>Repairing wiring harnesses, making battery cable leads, crimping terminal lugs.</t>
  </si>
  <si>
    <t>Carburetor Jet Cleaning Needles &amp; Spray Kit</t>
  </si>
  <si>
    <t>Unclogging small jets and emulsion tubes in carburetors to solve starting issues.</t>
  </si>
  <si>
    <t>Workshop Lifting &amp; Maintenance Equipment</t>
  </si>
  <si>
    <t>Hydraulic Bottle Jack (3-Ton Capacity)</t>
  </si>
  <si>
    <t>Lifting the Raksha frame safely to enable wheel, brake, and underbody work.</t>
  </si>
  <si>
    <t>Heavy-Duty Axle Support Stands (Pair)</t>
  </si>
  <si>
    <t>Securing lifted vehicles safely during practical training sessions and long repairs.</t>
  </si>
  <si>
    <t>Oil Catch Drain Pan &amp; Funnel Set</t>
  </si>
  <si>
    <t>Draining engine oil and transmission fluid cleanly without workspace pollution.</t>
  </si>
  <si>
    <t>High-Pressure Manual Grease Gun</t>
  </si>
  <si>
    <t>Greasing steering columns, suspension joints, and drive shaft nipples.</t>
  </si>
  <si>
    <t>Portable Air Compressor &amp; Pressure Gauge</t>
  </si>
  <si>
    <t>Inflating tires to exact PSI and blowing dirt out of carburetors and engine parts.</t>
  </si>
  <si>
    <t>Startup Vehicle &amp; Training Assets</t>
  </si>
  <si>
    <t>Training Raksha / Tuk-Tuk Vehicle (Used with Papers)</t>
  </si>
  <si>
    <t>Primary hands-on training asset for students to dismantle, diagnose, repair, and rebuild.</t>
  </si>
  <si>
    <t>Initial Workshop Consumables (Oil, Fluids, Solvents, Parts)</t>
  </si>
  <si>
    <t>4T engine oil, gear oil, brake fluid, grease, spark plugs, patch kits, and shop towels.</t>
  </si>
  <si>
    <t>GRAND TOTAL (ALL ITEMS)</t>
  </si>
  <si>
    <t>ATC SALON &amp; TRAINING CENTER - STARTUP BUDGET QUOTATION</t>
  </si>
  <si>
    <t>Complete Itemized Budget Estimate for (Hair, Makeup &amp; Training Facility)</t>
  </si>
  <si>
    <t>EQUIPMENT &amp; TOOL QUOTATION</t>
  </si>
  <si>
    <t>Tile Installation Workshop Setup for Technical College Training Lab (15 Trainees)</t>
  </si>
  <si>
    <t>Client: Technical College Department of Construction</t>
  </si>
  <si>
    <t>Quote Ref: QUO-2026-TIL-3021-V2</t>
  </si>
  <si>
    <t>Date: August 4, 2026</t>
  </si>
  <si>
    <t>Capacity: 15 Students per Cohort</t>
  </si>
  <si>
    <t>Validity: 30 Days</t>
  </si>
  <si>
    <t>Currency: USD ($)</t>
  </si>
  <si>
    <t>Category: Tile Installation Workshop Equipment</t>
  </si>
  <si>
    <t>Delivery: 10-14 Business Days</t>
  </si>
  <si>
    <t>1. Cutting &amp; Profiling Equipment</t>
  </si>
  <si>
    <t>Item #</t>
  </si>
  <si>
    <t>Equipment / Tool Description</t>
  </si>
  <si>
    <t>Purpose &amp; Primary Function in Training</t>
  </si>
  <si>
    <t>Unit</t>
  </si>
  <si>
    <t>Total Price ($)</t>
  </si>
  <si>
    <t>Manual Heavy-Duty Tile Cutters (800mm, laser guide)</t>
  </si>
  <si>
    <t>Making clean, dust-free straight and diagonal cuts on ceramic &amp; porcelain tiles.</t>
  </si>
  <si>
    <t>Units</t>
  </si>
  <si>
    <t>Electric Wet Tile Saws with Stand (1200W diamond blade)</t>
  </si>
  <si>
    <t>Precision wet cutting for dense porcelain, natural stone, thick tiles, and miter edges.</t>
  </si>
  <si>
    <t>Heavy-Duty Angle Grinders (850W with diamond discs)</t>
  </si>
  <si>
    <t>Executing L-shaped cuts, U-cuts, curved edges, and custom notches around obstacles.</t>
  </si>
  <si>
    <t>Tile Hole Saw Drill Bits (Diamond coated, 20-68mm)</t>
  </si>
  <si>
    <t>Drilling circular penetration holes for plumbing pipes, shower heads, and electrical outlets.</t>
  </si>
  <si>
    <t>Sets</t>
  </si>
  <si>
    <t>Tile Nippers &amp; Glass Mosaic Pliers</t>
  </si>
  <si>
    <t>Trimming tiny tile edges, shaping mosaic pieces, and making small irregular cutouts.</t>
  </si>
  <si>
    <t>Pcs</t>
  </si>
  <si>
    <t>2. Layout, Measurement &amp; Leveling Tools</t>
  </si>
  <si>
    <t>Self-Leveling 360° Green Cross-Line Laser Level</t>
  </si>
  <si>
    <t>Projecting horizontal and vertical reference lines across walls/floors to ensure straight tile alignment.</t>
  </si>
  <si>
    <t>Aluminum Spirit Levels (1200mm &amp; 600mm dual set)</t>
  </si>
  <si>
    <t>Checking floor and wall flatness, verifying plum lines, and ensuring level tile surfaces.</t>
  </si>
  <si>
    <t>Tile Leveling System Kits (Pliers, Clips, Wedges)</t>
  </si>
  <si>
    <t>Interlocking adjacent tiles during setting to eliminate lippage and keep joints flush.</t>
  </si>
  <si>
    <t>Kits</t>
  </si>
  <si>
    <t>Angle Template Tool &amp; Contour Gauge</t>
  </si>
  <si>
    <t>Duplicating complex shapes, door frames, and angles onto tiles for exact cutting.</t>
  </si>
  <si>
    <t>5m Steel Measuring Tapes &amp; Marking Pencils</t>
  </si>
  <si>
    <t>Measuring distances, calculating grid dimensions, and marking cut guidelines on tile surfaces.</t>
  </si>
  <si>
    <t>3. Surface Prep, Mixing &amp; Application Equipment</t>
  </si>
  <si>
    <t>Electric Paddle Mortar Mixers (1600W dual speed)</t>
  </si>
  <si>
    <t>Rapid, lump-free mixing of thin-set adhesives, waterproof screeds, and grout compounds.</t>
  </si>
  <si>
    <t>Notched Trowels (6mm x 6mm &amp; 10mm x 10mm)</t>
  </si>
  <si>
    <t>Combing mortar into uniform ridges to achieve proper adhesive coverage and bond strength.</t>
  </si>
  <si>
    <t>Margin Trowels &amp; Pointing Trowels</t>
  </si>
  <si>
    <t>Scooping mortar from buckets, cleaning tile edges, and applying adhesive in tight spots.</t>
  </si>
  <si>
    <t>Heavy-Duty White Rubber Mallets (16 oz)</t>
  </si>
  <si>
    <t>Tapping tiles gently into mortar bed to consolidate adhesive without cracking the tile face.</t>
  </si>
  <si>
    <t>Heavy-Duty Dual Suction Cup Tile Lifters</t>
  </si>
  <si>
    <t>Safe lifting, carrying, and positioning of large format tiles onto floor/wall mortar beds.</t>
  </si>
  <si>
    <t>Heavy-Duty Mixing Tubs (40-Liter heavy plastic)</t>
  </si>
  <si>
    <t>Holding mortar, adhesive, and grout batches during practical training exercises.</t>
  </si>
  <si>
    <t>4. Grouting, Finishing &amp; Clean-Up Equipment</t>
  </si>
  <si>
    <t>Ergonomic Molded Rubber Grout Floats</t>
  </si>
  <si>
    <t>Pressing grout firm and deep into joints between tiles without scratching delicate surfaces.</t>
  </si>
  <si>
    <t>Grout Cleaning Wash Bucket Kit (Rollers &amp; Sponges)</t>
  </si>
  <si>
    <t>Washing away excess grout from tile surfaces quickly while smoothing out grout joints.</t>
  </si>
  <si>
    <t>Grout Rakes &amp; Caulk Finishing Tools Set</t>
  </si>
  <si>
    <t>Scraping old or damaged grout joints clean and smoothing silicone sealant beads.</t>
  </si>
  <si>
    <t>Silicon Applicator Caulking Guns</t>
  </si>
  <si>
    <t>Dispensing flexible silicone caulking into expansion joints and perimeter movement seams.</t>
  </si>
  <si>
    <t>5. Safety Equipment &amp; Consumables Starter Pack</t>
  </si>
  <si>
    <t>Student Safety PPE Kits (Goggles, N95, Gloves)</t>
  </si>
  <si>
    <t>Protecting trainees from flying tile fragments, airborne silica dust, and harsh cement chemistry.</t>
  </si>
  <si>
    <t>Professional Heavy-Duty Gel Knee Pads</t>
  </si>
  <si>
    <t>Protecting students' knees during long hours of kneeling on hard concrete floor surfaces.</t>
  </si>
  <si>
    <t>Pairs</t>
  </si>
  <si>
    <t>Standard Thin-Set Mortar Adhesive (C1, 25kg)</t>
  </si>
  <si>
    <t>Demonstrating basic cementitious mortar application on standard indoor ceramic tiles.</t>
  </si>
  <si>
    <t>Bags</t>
  </si>
  <si>
    <t>Polymer Modified Flex Adhesive (C2TE, 25kg)</t>
  </si>
  <si>
    <t>Teaching high-performance bonding techniques for porcelain, large format, and wet zones.</t>
  </si>
  <si>
    <t>Grout Powder &amp; Joint Spacers Pack</t>
  </si>
  <si>
    <t>Filling tile joints and maintaining uniform gap spacing between tiles during installation.</t>
  </si>
  <si>
    <t>6. Financial Summary</t>
  </si>
  <si>
    <t>Cost Summary Category</t>
  </si>
  <si>
    <t>Subtotal ($)</t>
  </si>
  <si>
    <t>Section 1: Cutting &amp; Profiling Equipment</t>
  </si>
  <si>
    <t>Section 2: Layout, Measurement &amp; Leveling Tools</t>
  </si>
  <si>
    <t>Section 3: Surface Prep, Mixing &amp; Application Equipment</t>
  </si>
  <si>
    <t>Section 4: Grouting, Finishing &amp; Clean-Up Equipment</t>
  </si>
  <si>
    <t>Section 5: Safety Equipment &amp; Consumables Starter Pack</t>
  </si>
  <si>
    <t>Subtotal Equipment Cost</t>
  </si>
  <si>
    <t>Packaging, Freight &amp; Insurance (Estimated 5%)</t>
  </si>
  <si>
    <t>Applicable Taxes (10%)</t>
  </si>
  <si>
    <t>GRAND TOTAL</t>
  </si>
  <si>
    <t>7. Terms &amp; Warranty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</si>
  <si>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9"/>
        <color theme="1"/>
        <rFont val="Cambria"/>
        <family val="1"/>
      </rPr>
      <t>Warranty: 12 Months warranty on all electrical power tools (Wet saws, angle grinders, paddle mixers).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</si>
  <si>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9"/>
        <color theme="1"/>
        <rFont val="Cambria"/>
        <family val="1"/>
      </rPr>
      <t>Delivery: Complete workshop package delivered within 10-14 business days.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</si>
  <si>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9"/>
        <color theme="1"/>
        <rFont val="Cambria"/>
        <family val="1"/>
      </rPr>
      <t>Payment Terms: 50% advance deposit to initiate order, 50% upon delivery and inspection.</t>
    </r>
  </si>
  <si>
    <t>ATC RAKSHA (TUK-TUK) REPAIR &amp;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</si>
</sst>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2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E0E0E0"/>
      <name val="Calibri"/>
    </font>
    <font>
      <b/>
      <sz val="11"/>
      <color rgb="FFFFFFFF"/>
      <name val="Calibri"/>
    </font>
    <font>
      <sz val="11"/>
      <color rgb="FF333333"/>
      <name val="Calibri"/>
    </font>
    <font>
      <b/>
      <sz val="11"/>
      <color rgb="FF1A3636"/>
      <name val="Calibri"/>
    </font>
    <font>
      <b/>
      <sz val="12"/>
      <color rgb="FF1A3636"/>
      <name val="Calibri"/>
    </font>
    <font>
      <i/>
      <sz val="11"/>
      <color rgb="FFE2E8F0"/>
      <name val="Calibri"/>
    </font>
    <font>
      <sz val="10"/>
      <name val="Calibri"/>
    </font>
    <font>
      <b/>
      <sz val="10"/>
      <color rgb="FF22543D"/>
      <name val="Calibri"/>
    </font>
    <font>
      <b/>
      <sz val="10"/>
      <color rgb="FF744210"/>
      <name val="Calibri"/>
    </font>
    <font>
      <b/>
      <sz val="12"/>
      <color rgb="FFFFFFFF"/>
      <name val="Calibri"/>
    </font>
    <font>
      <sz val="11"/>
      <color theme="1"/>
      <name val="Cambria"/>
      <family val="1"/>
    </font>
    <font>
      <b/>
      <sz val="20"/>
      <color rgb="FF1B365D"/>
      <name val="Arial"/>
      <family val="2"/>
    </font>
    <font>
      <sz val="11"/>
      <color rgb="FF718096"/>
      <name val="Arial"/>
      <family val="2"/>
    </font>
    <font>
      <sz val="9"/>
      <color rgb="FF000000"/>
      <name val="Cambria"/>
      <family val="1"/>
    </font>
    <font>
      <b/>
      <sz val="15"/>
      <color rgb="FF1B365D"/>
      <name val="Arial"/>
      <family val="2"/>
    </font>
    <font>
      <b/>
      <sz val="8.5"/>
      <color rgb="FFFFFFFF"/>
      <name val="Arial"/>
      <family val="2"/>
    </font>
    <font>
      <sz val="8.5"/>
      <color rgb="FF2D3748"/>
      <name val="Arial"/>
      <family val="2"/>
    </font>
    <font>
      <b/>
      <sz val="11"/>
      <color rgb="FFFFFFFF"/>
      <name val="Arial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9"/>
      <color theme="1"/>
      <name val="Cambria"/>
      <family val="1"/>
    </font>
    <font>
      <b/>
      <sz val="16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A3636"/>
        <bgColor rgb="FF1A3636"/>
      </patternFill>
    </fill>
    <fill>
      <patternFill patternType="solid">
        <fgColor rgb="FF40534C"/>
        <bgColor rgb="FF40534C"/>
      </patternFill>
    </fill>
    <fill>
      <patternFill patternType="solid">
        <fgColor rgb="FFFFFFFF"/>
        <bgColor rgb="FFFFFFFF"/>
      </patternFill>
    </fill>
    <fill>
      <patternFill patternType="solid">
        <fgColor rgb="FFF7F9F8"/>
        <bgColor rgb="FFF7F9F8"/>
      </patternFill>
    </fill>
    <fill>
      <patternFill patternType="solid">
        <fgColor rgb="FFD6EFD8"/>
        <bgColor rgb="FFD6EFD8"/>
      </patternFill>
    </fill>
    <fill>
      <patternFill patternType="solid">
        <fgColor rgb="FF1A365D"/>
        <bgColor rgb="FF1A365D"/>
      </patternFill>
    </fill>
    <fill>
      <patternFill patternType="solid">
        <fgColor rgb="FF2A4365"/>
        <bgColor rgb="FF2A4365"/>
      </patternFill>
    </fill>
    <fill>
      <patternFill patternType="solid">
        <fgColor rgb="FFC6F6D5"/>
        <bgColor rgb="FFC6F6D5"/>
      </patternFill>
    </fill>
    <fill>
      <patternFill patternType="solid">
        <fgColor rgb="FFF7FAFC"/>
        <bgColor rgb="FFF7FAFC"/>
      </patternFill>
    </fill>
    <fill>
      <patternFill patternType="solid">
        <fgColor rgb="FFFEFCBF"/>
        <bgColor rgb="FFFEFCBF"/>
      </patternFill>
    </fill>
    <fill>
      <patternFill patternType="solid">
        <fgColor rgb="FFF1F5F9"/>
        <bgColor indexed="64"/>
      </patternFill>
    </fill>
    <fill>
      <patternFill patternType="solid">
        <fgColor rgb="FF1B365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2C3E50"/>
        <bgColor indexed="64"/>
      </patternFill>
    </fill>
  </fills>
  <borders count="6">
    <border>
      <left/>
      <right/>
      <top/>
      <bottom/>
      <diagonal/>
    </border>
    <border>
      <left style="thin">
        <color rgb="FF1A3636"/>
      </left>
      <right style="thin">
        <color rgb="FF1A3636"/>
      </right>
      <top style="thin">
        <color rgb="FF1A3636"/>
      </top>
      <bottom style="medium">
        <color rgb="FF1A3636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1A3636"/>
      </top>
      <bottom style="double">
        <color rgb="FF1A3636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 style="double">
        <color rgb="FF1A365D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right" vertical="center"/>
    </xf>
    <xf numFmtId="164" fontId="5" fillId="5" borderId="2" xfId="0" applyNumberFormat="1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right" vertical="center" indent="1"/>
    </xf>
    <xf numFmtId="0" fontId="0" fillId="0" borderId="3" xfId="0" applyBorder="1"/>
    <xf numFmtId="164" fontId="6" fillId="6" borderId="3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right" vertical="center"/>
    </xf>
    <xf numFmtId="0" fontId="8" fillId="0" borderId="4" xfId="0" applyFont="1" applyBorder="1"/>
    <xf numFmtId="0" fontId="9" fillId="9" borderId="4" xfId="0" applyFont="1" applyFill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right" vertical="center"/>
    </xf>
    <xf numFmtId="0" fontId="8" fillId="10" borderId="4" xfId="0" applyFont="1" applyFill="1" applyBorder="1"/>
    <xf numFmtId="0" fontId="10" fillId="11" borderId="4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left" vertical="center"/>
    </xf>
    <xf numFmtId="0" fontId="0" fillId="7" borderId="5" xfId="0" applyFill="1" applyBorder="1"/>
    <xf numFmtId="164" fontId="11" fillId="7" borderId="5" xfId="0" applyNumberFormat="1" applyFont="1" applyFill="1" applyBorder="1" applyAlignment="1">
      <alignment horizontal="right" vertical="center"/>
    </xf>
    <xf numFmtId="0" fontId="0" fillId="7" borderId="5" xfId="0" applyFill="1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12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13" borderId="0" xfId="0" applyFont="1" applyFill="1" applyAlignment="1">
      <alignment vertical="center" wrapText="1"/>
    </xf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right" vertical="center" wrapText="1"/>
    </xf>
    <xf numFmtId="4" fontId="18" fillId="14" borderId="0" xfId="0" applyNumberFormat="1" applyFont="1" applyFill="1" applyAlignment="1">
      <alignment horizontal="right" vertical="center" wrapText="1"/>
    </xf>
    <xf numFmtId="0" fontId="18" fillId="15" borderId="0" xfId="0" applyFont="1" applyFill="1" applyAlignment="1">
      <alignment vertical="center" wrapText="1"/>
    </xf>
    <xf numFmtId="0" fontId="18" fillId="15" borderId="0" xfId="0" applyFont="1" applyFill="1" applyAlignment="1">
      <alignment horizontal="right" vertical="center" wrapText="1"/>
    </xf>
    <xf numFmtId="4" fontId="18" fillId="15" borderId="0" xfId="0" applyNumberFormat="1" applyFont="1" applyFill="1" applyAlignment="1">
      <alignment horizontal="right" vertical="center" wrapText="1"/>
    </xf>
    <xf numFmtId="0" fontId="17" fillId="16" borderId="0" xfId="0" applyFont="1" applyFill="1" applyAlignment="1">
      <alignment vertical="center" wrapText="1"/>
    </xf>
    <xf numFmtId="4" fontId="18" fillId="14" borderId="0" xfId="0" applyNumberFormat="1" applyFont="1" applyFill="1" applyAlignment="1">
      <alignment vertical="center" wrapText="1"/>
    </xf>
    <xf numFmtId="4" fontId="18" fillId="15" borderId="0" xfId="0" applyNumberFormat="1" applyFont="1" applyFill="1" applyAlignment="1">
      <alignment vertical="center" wrapText="1"/>
    </xf>
    <xf numFmtId="0" fontId="19" fillId="13" borderId="0" xfId="0" applyFont="1" applyFill="1" applyAlignment="1">
      <alignment vertical="center" wrapText="1"/>
    </xf>
    <xf numFmtId="8" fontId="19" fillId="13" borderId="0" xfId="0" applyNumberFormat="1" applyFont="1" applyFill="1" applyAlignment="1">
      <alignment vertical="center" wrapText="1"/>
    </xf>
    <xf numFmtId="0" fontId="20" fillId="0" borderId="0" xfId="0" applyFont="1" applyAlignment="1">
      <alignment horizontal="left" vertical="center" indent="2"/>
    </xf>
    <xf numFmtId="0" fontId="2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F1D5-1FFC-444D-853C-E8E8FC4915BE}">
  <dimension ref="A1:E40"/>
  <sheetViews>
    <sheetView topLeftCell="A28" workbookViewId="0">
      <selection activeCell="G10" sqref="G10"/>
    </sheetView>
  </sheetViews>
  <sheetFormatPr defaultRowHeight="14.5" x14ac:dyDescent="0.35"/>
  <cols>
    <col min="1" max="1" width="22" customWidth="1"/>
    <col min="2" max="2" width="58" customWidth="1"/>
    <col min="3" max="3" width="10" customWidth="1"/>
    <col min="4" max="4" width="16" customWidth="1"/>
    <col min="5" max="5" width="20" customWidth="1"/>
  </cols>
  <sheetData>
    <row r="1" spans="1:5" ht="30" customHeight="1" x14ac:dyDescent="0.35">
      <c r="A1" s="1" t="s">
        <v>111</v>
      </c>
      <c r="B1" s="2"/>
      <c r="C1" s="2"/>
      <c r="D1" s="2"/>
      <c r="E1" s="2"/>
    </row>
    <row r="2" spans="1:5" ht="20" customHeight="1" x14ac:dyDescent="0.35">
      <c r="A2" s="3" t="s">
        <v>112</v>
      </c>
      <c r="B2" s="2"/>
      <c r="C2" s="2"/>
      <c r="D2" s="2"/>
      <c r="E2" s="2"/>
    </row>
    <row r="3" spans="1:5" ht="25" customHeight="1" thickBot="1" x14ac:dyDescent="0.4">
      <c r="A3" s="4" t="s">
        <v>0</v>
      </c>
      <c r="B3" s="4" t="s">
        <v>1</v>
      </c>
      <c r="C3" s="5" t="s">
        <v>2</v>
      </c>
      <c r="D3" s="5" t="s">
        <v>3</v>
      </c>
      <c r="E3" s="5" t="s">
        <v>4</v>
      </c>
    </row>
    <row r="4" spans="1:5" ht="22" customHeight="1" x14ac:dyDescent="0.35">
      <c r="A4" s="6" t="s">
        <v>5</v>
      </c>
      <c r="B4" s="2"/>
      <c r="C4" s="2"/>
      <c r="D4" s="2"/>
      <c r="E4" s="2"/>
    </row>
    <row r="5" spans="1:5" ht="20" customHeight="1" x14ac:dyDescent="0.35">
      <c r="A5" s="7" t="s">
        <v>6</v>
      </c>
      <c r="B5" s="7" t="s">
        <v>7</v>
      </c>
      <c r="C5" s="8">
        <v>1</v>
      </c>
      <c r="D5" s="9">
        <v>180</v>
      </c>
      <c r="E5" s="10">
        <f t="shared" ref="E5:E10" si="0">C5*D5</f>
        <v>180</v>
      </c>
    </row>
    <row r="6" spans="1:5" ht="20" customHeight="1" x14ac:dyDescent="0.35">
      <c r="A6" s="11" t="s">
        <v>6</v>
      </c>
      <c r="B6" s="11" t="s">
        <v>8</v>
      </c>
      <c r="C6" s="12">
        <v>1</v>
      </c>
      <c r="D6" s="13">
        <v>120</v>
      </c>
      <c r="E6" s="14">
        <f t="shared" si="0"/>
        <v>120</v>
      </c>
    </row>
    <row r="7" spans="1:5" ht="20" customHeight="1" x14ac:dyDescent="0.35">
      <c r="A7" s="7" t="s">
        <v>6</v>
      </c>
      <c r="B7" s="7" t="s">
        <v>9</v>
      </c>
      <c r="C7" s="8">
        <v>1</v>
      </c>
      <c r="D7" s="9">
        <v>450</v>
      </c>
      <c r="E7" s="10">
        <f t="shared" si="0"/>
        <v>450</v>
      </c>
    </row>
    <row r="8" spans="1:5" ht="20" customHeight="1" x14ac:dyDescent="0.35">
      <c r="A8" s="11" t="s">
        <v>6</v>
      </c>
      <c r="B8" s="11" t="s">
        <v>10</v>
      </c>
      <c r="C8" s="12">
        <v>1</v>
      </c>
      <c r="D8" s="13">
        <v>180</v>
      </c>
      <c r="E8" s="14">
        <f t="shared" si="0"/>
        <v>180</v>
      </c>
    </row>
    <row r="9" spans="1:5" ht="20" customHeight="1" x14ac:dyDescent="0.35">
      <c r="A9" s="7" t="s">
        <v>6</v>
      </c>
      <c r="B9" s="7" t="s">
        <v>11</v>
      </c>
      <c r="C9" s="8">
        <v>1</v>
      </c>
      <c r="D9" s="9">
        <v>60</v>
      </c>
      <c r="E9" s="10">
        <f t="shared" si="0"/>
        <v>60</v>
      </c>
    </row>
    <row r="10" spans="1:5" ht="20" customHeight="1" x14ac:dyDescent="0.35">
      <c r="A10" s="11" t="s">
        <v>6</v>
      </c>
      <c r="B10" s="11" t="s">
        <v>12</v>
      </c>
      <c r="C10" s="12">
        <v>1</v>
      </c>
      <c r="D10" s="13">
        <v>50</v>
      </c>
      <c r="E10" s="14">
        <f t="shared" si="0"/>
        <v>50</v>
      </c>
    </row>
    <row r="11" spans="1:5" ht="22" customHeight="1" x14ac:dyDescent="0.35">
      <c r="A11" s="6" t="s">
        <v>13</v>
      </c>
      <c r="B11" s="2"/>
      <c r="C11" s="2"/>
      <c r="D11" s="2"/>
      <c r="E11" s="2"/>
    </row>
    <row r="12" spans="1:5" ht="20" customHeight="1" x14ac:dyDescent="0.35">
      <c r="A12" s="7" t="s">
        <v>14</v>
      </c>
      <c r="B12" s="7" t="s">
        <v>15</v>
      </c>
      <c r="C12" s="8">
        <v>3</v>
      </c>
      <c r="D12" s="9">
        <v>25</v>
      </c>
      <c r="E12" s="10">
        <f>C12*D12</f>
        <v>75</v>
      </c>
    </row>
    <row r="13" spans="1:5" ht="20" customHeight="1" x14ac:dyDescent="0.35">
      <c r="A13" s="11" t="s">
        <v>14</v>
      </c>
      <c r="B13" s="11" t="s">
        <v>16</v>
      </c>
      <c r="C13" s="12">
        <v>3</v>
      </c>
      <c r="D13" s="13">
        <v>15</v>
      </c>
      <c r="E13" s="14">
        <f>C13*D13</f>
        <v>45</v>
      </c>
    </row>
    <row r="14" spans="1:5" ht="20" customHeight="1" x14ac:dyDescent="0.35">
      <c r="A14" s="7" t="s">
        <v>14</v>
      </c>
      <c r="B14" s="7" t="s">
        <v>17</v>
      </c>
      <c r="C14" s="8">
        <v>1</v>
      </c>
      <c r="D14" s="9">
        <v>45</v>
      </c>
      <c r="E14" s="10">
        <f>C14*D14</f>
        <v>45</v>
      </c>
    </row>
    <row r="15" spans="1:5" ht="20" customHeight="1" x14ac:dyDescent="0.35">
      <c r="A15" s="11" t="s">
        <v>14</v>
      </c>
      <c r="B15" s="11" t="s">
        <v>18</v>
      </c>
      <c r="C15" s="12">
        <v>1</v>
      </c>
      <c r="D15" s="13">
        <v>70</v>
      </c>
      <c r="E15" s="14">
        <f>C15*D15</f>
        <v>70</v>
      </c>
    </row>
    <row r="16" spans="1:5" ht="22" customHeight="1" x14ac:dyDescent="0.35">
      <c r="A16" s="6" t="s">
        <v>19</v>
      </c>
      <c r="B16" s="2"/>
      <c r="C16" s="2"/>
      <c r="D16" s="2"/>
      <c r="E16" s="2"/>
    </row>
    <row r="17" spans="1:5" ht="20" customHeight="1" x14ac:dyDescent="0.35">
      <c r="A17" s="7" t="s">
        <v>20</v>
      </c>
      <c r="B17" s="7" t="s">
        <v>21</v>
      </c>
      <c r="C17" s="8">
        <v>1</v>
      </c>
      <c r="D17" s="9">
        <v>250</v>
      </c>
      <c r="E17" s="10">
        <f>C17*D17</f>
        <v>250</v>
      </c>
    </row>
    <row r="18" spans="1:5" ht="20" customHeight="1" x14ac:dyDescent="0.35">
      <c r="A18" s="11" t="s">
        <v>20</v>
      </c>
      <c r="B18" s="11" t="s">
        <v>22</v>
      </c>
      <c r="C18" s="12">
        <v>1</v>
      </c>
      <c r="D18" s="13">
        <v>100</v>
      </c>
      <c r="E18" s="14">
        <f>C18*D18</f>
        <v>100</v>
      </c>
    </row>
    <row r="19" spans="1:5" ht="20" customHeight="1" x14ac:dyDescent="0.35">
      <c r="A19" s="7" t="s">
        <v>20</v>
      </c>
      <c r="B19" s="7" t="s">
        <v>23</v>
      </c>
      <c r="C19" s="8">
        <v>1</v>
      </c>
      <c r="D19" s="9">
        <v>60</v>
      </c>
      <c r="E19" s="10">
        <f>C19*D19</f>
        <v>60</v>
      </c>
    </row>
    <row r="20" spans="1:5" ht="20" customHeight="1" x14ac:dyDescent="0.35">
      <c r="A20" s="11" t="s">
        <v>20</v>
      </c>
      <c r="B20" s="11" t="s">
        <v>24</v>
      </c>
      <c r="C20" s="12">
        <v>1</v>
      </c>
      <c r="D20" s="13">
        <v>250</v>
      </c>
      <c r="E20" s="14">
        <f>C20*D20</f>
        <v>250</v>
      </c>
    </row>
    <row r="21" spans="1:5" ht="20" customHeight="1" x14ac:dyDescent="0.35">
      <c r="A21" s="7" t="s">
        <v>20</v>
      </c>
      <c r="B21" s="7" t="s">
        <v>25</v>
      </c>
      <c r="C21" s="8">
        <v>1</v>
      </c>
      <c r="D21" s="9">
        <v>40</v>
      </c>
      <c r="E21" s="10">
        <f>C21*D21</f>
        <v>40</v>
      </c>
    </row>
    <row r="22" spans="1:5" ht="22" customHeight="1" x14ac:dyDescent="0.35">
      <c r="A22" s="6" t="s">
        <v>26</v>
      </c>
      <c r="B22" s="2"/>
      <c r="C22" s="2"/>
      <c r="D22" s="2"/>
      <c r="E22" s="2"/>
    </row>
    <row r="23" spans="1:5" ht="20" customHeight="1" x14ac:dyDescent="0.35">
      <c r="A23" s="11" t="s">
        <v>27</v>
      </c>
      <c r="B23" s="11" t="s">
        <v>28</v>
      </c>
      <c r="C23" s="12">
        <v>2</v>
      </c>
      <c r="D23" s="13">
        <v>15</v>
      </c>
      <c r="E23" s="14">
        <f t="shared" ref="E23:E30" si="1">C23*D23</f>
        <v>30</v>
      </c>
    </row>
    <row r="24" spans="1:5" ht="20" customHeight="1" x14ac:dyDescent="0.35">
      <c r="A24" s="7" t="s">
        <v>27</v>
      </c>
      <c r="B24" s="7" t="s">
        <v>29</v>
      </c>
      <c r="C24" s="8">
        <v>1</v>
      </c>
      <c r="D24" s="9">
        <v>70</v>
      </c>
      <c r="E24" s="10">
        <f t="shared" si="1"/>
        <v>70</v>
      </c>
    </row>
    <row r="25" spans="1:5" ht="20" customHeight="1" x14ac:dyDescent="0.35">
      <c r="A25" s="11" t="s">
        <v>27</v>
      </c>
      <c r="B25" s="11" t="s">
        <v>30</v>
      </c>
      <c r="C25" s="12">
        <v>1</v>
      </c>
      <c r="D25" s="13">
        <v>150</v>
      </c>
      <c r="E25" s="14">
        <f t="shared" si="1"/>
        <v>150</v>
      </c>
    </row>
    <row r="26" spans="1:5" ht="20" customHeight="1" x14ac:dyDescent="0.35">
      <c r="A26" s="7" t="s">
        <v>27</v>
      </c>
      <c r="B26" s="7" t="s">
        <v>31</v>
      </c>
      <c r="C26" s="8">
        <v>1</v>
      </c>
      <c r="D26" s="9">
        <v>100</v>
      </c>
      <c r="E26" s="10">
        <f t="shared" si="1"/>
        <v>100</v>
      </c>
    </row>
    <row r="27" spans="1:5" ht="20" customHeight="1" x14ac:dyDescent="0.35">
      <c r="A27" s="11" t="s">
        <v>27</v>
      </c>
      <c r="B27" s="11" t="s">
        <v>32</v>
      </c>
      <c r="C27" s="12">
        <v>1</v>
      </c>
      <c r="D27" s="13">
        <v>200</v>
      </c>
      <c r="E27" s="14">
        <f t="shared" si="1"/>
        <v>200</v>
      </c>
    </row>
    <row r="28" spans="1:5" ht="20" customHeight="1" x14ac:dyDescent="0.35">
      <c r="A28" s="7" t="s">
        <v>27</v>
      </c>
      <c r="B28" s="7" t="s">
        <v>33</v>
      </c>
      <c r="C28" s="8">
        <v>1</v>
      </c>
      <c r="D28" s="9">
        <v>250</v>
      </c>
      <c r="E28" s="10">
        <f t="shared" si="1"/>
        <v>250</v>
      </c>
    </row>
    <row r="29" spans="1:5" ht="20" customHeight="1" x14ac:dyDescent="0.35">
      <c r="A29" s="11" t="s">
        <v>27</v>
      </c>
      <c r="B29" s="11" t="s">
        <v>34</v>
      </c>
      <c r="C29" s="12">
        <v>1</v>
      </c>
      <c r="D29" s="13">
        <v>150</v>
      </c>
      <c r="E29" s="14">
        <f t="shared" si="1"/>
        <v>150</v>
      </c>
    </row>
    <row r="30" spans="1:5" ht="20" customHeight="1" x14ac:dyDescent="0.35">
      <c r="A30" s="7" t="s">
        <v>27</v>
      </c>
      <c r="B30" s="7" t="s">
        <v>35</v>
      </c>
      <c r="C30" s="8">
        <v>5</v>
      </c>
      <c r="D30" s="9">
        <v>5</v>
      </c>
      <c r="E30" s="10">
        <f t="shared" si="1"/>
        <v>25</v>
      </c>
    </row>
    <row r="31" spans="1:5" ht="22" customHeight="1" x14ac:dyDescent="0.35">
      <c r="A31" s="6" t="s">
        <v>36</v>
      </c>
      <c r="B31" s="2"/>
      <c r="C31" s="2"/>
      <c r="D31" s="2"/>
      <c r="E31" s="2"/>
    </row>
    <row r="32" spans="1:5" ht="20" customHeight="1" x14ac:dyDescent="0.35">
      <c r="A32" s="11" t="s">
        <v>37</v>
      </c>
      <c r="B32" s="11" t="s">
        <v>38</v>
      </c>
      <c r="C32" s="12">
        <v>1</v>
      </c>
      <c r="D32" s="13">
        <v>120</v>
      </c>
      <c r="E32" s="14">
        <f t="shared" ref="E32:E39" si="2">C32*D32</f>
        <v>120</v>
      </c>
    </row>
    <row r="33" spans="1:5" ht="20" customHeight="1" x14ac:dyDescent="0.35">
      <c r="A33" s="7" t="s">
        <v>37</v>
      </c>
      <c r="B33" s="7" t="s">
        <v>39</v>
      </c>
      <c r="C33" s="8">
        <v>1</v>
      </c>
      <c r="D33" s="9">
        <v>250</v>
      </c>
      <c r="E33" s="10">
        <f t="shared" si="2"/>
        <v>250</v>
      </c>
    </row>
    <row r="34" spans="1:5" ht="20" customHeight="1" x14ac:dyDescent="0.35">
      <c r="A34" s="11" t="s">
        <v>37</v>
      </c>
      <c r="B34" s="11" t="s">
        <v>40</v>
      </c>
      <c r="C34" s="12">
        <v>1</v>
      </c>
      <c r="D34" s="13">
        <v>150</v>
      </c>
      <c r="E34" s="14">
        <f t="shared" si="2"/>
        <v>150</v>
      </c>
    </row>
    <row r="35" spans="1:5" ht="20" customHeight="1" x14ac:dyDescent="0.35">
      <c r="A35" s="7" t="s">
        <v>37</v>
      </c>
      <c r="B35" s="7" t="s">
        <v>41</v>
      </c>
      <c r="C35" s="8">
        <v>2</v>
      </c>
      <c r="D35" s="9">
        <v>60</v>
      </c>
      <c r="E35" s="10">
        <f t="shared" si="2"/>
        <v>120</v>
      </c>
    </row>
    <row r="36" spans="1:5" ht="20" customHeight="1" x14ac:dyDescent="0.35">
      <c r="A36" s="11" t="s">
        <v>37</v>
      </c>
      <c r="B36" s="11" t="s">
        <v>42</v>
      </c>
      <c r="C36" s="12">
        <v>1</v>
      </c>
      <c r="D36" s="13">
        <v>100</v>
      </c>
      <c r="E36" s="14">
        <f t="shared" si="2"/>
        <v>100</v>
      </c>
    </row>
    <row r="37" spans="1:5" ht="20" customHeight="1" x14ac:dyDescent="0.35">
      <c r="A37" s="7" t="s">
        <v>37</v>
      </c>
      <c r="B37" s="7" t="s">
        <v>43</v>
      </c>
      <c r="C37" s="8">
        <v>2</v>
      </c>
      <c r="D37" s="9">
        <v>45</v>
      </c>
      <c r="E37" s="10">
        <f t="shared" si="2"/>
        <v>90</v>
      </c>
    </row>
    <row r="38" spans="1:5" ht="20" customHeight="1" x14ac:dyDescent="0.35">
      <c r="A38" s="11" t="s">
        <v>37</v>
      </c>
      <c r="B38" s="11" t="s">
        <v>44</v>
      </c>
      <c r="C38" s="12">
        <v>1</v>
      </c>
      <c r="D38" s="13">
        <v>60</v>
      </c>
      <c r="E38" s="14">
        <f t="shared" si="2"/>
        <v>60</v>
      </c>
    </row>
    <row r="39" spans="1:5" ht="20" customHeight="1" x14ac:dyDescent="0.35">
      <c r="A39" s="7" t="s">
        <v>37</v>
      </c>
      <c r="B39" s="7" t="s">
        <v>45</v>
      </c>
      <c r="C39" s="8">
        <v>1</v>
      </c>
      <c r="D39" s="9">
        <v>150</v>
      </c>
      <c r="E39" s="10">
        <f t="shared" si="2"/>
        <v>150</v>
      </c>
    </row>
    <row r="40" spans="1:5" ht="25" customHeight="1" thickBot="1" x14ac:dyDescent="0.4">
      <c r="A40" s="15" t="s">
        <v>46</v>
      </c>
      <c r="B40" s="16"/>
      <c r="C40" s="16"/>
      <c r="D40" s="16"/>
      <c r="E40" s="17">
        <f>SUM(E4:E39)</f>
        <v>3990</v>
      </c>
    </row>
  </sheetData>
  <mergeCells count="8">
    <mergeCell ref="A4:E4"/>
    <mergeCell ref="A11:E11"/>
    <mergeCell ref="A16:E16"/>
    <mergeCell ref="A22:E22"/>
    <mergeCell ref="A31:E31"/>
    <mergeCell ref="A40:D40"/>
    <mergeCell ref="A1:E1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5D53-4D29-4EA2-88F2-BD66348F1DEC}">
  <dimension ref="A1:G30"/>
  <sheetViews>
    <sheetView tabSelected="1" workbookViewId="0">
      <selection activeCell="B10" sqref="B10"/>
    </sheetView>
  </sheetViews>
  <sheetFormatPr defaultRowHeight="14.5" x14ac:dyDescent="0.35"/>
  <cols>
    <col min="1" max="1" width="32" customWidth="1"/>
    <col min="2" max="2" width="45" customWidth="1"/>
    <col min="3" max="3" width="14" customWidth="1"/>
    <col min="4" max="4" width="8" customWidth="1"/>
    <col min="5" max="5" width="15" customWidth="1"/>
    <col min="6" max="6" width="16" customWidth="1"/>
    <col min="7" max="7" width="55" customWidth="1"/>
  </cols>
  <sheetData>
    <row r="1" spans="1:7" ht="28" customHeight="1" x14ac:dyDescent="0.35">
      <c r="A1" s="50" t="s">
        <v>205</v>
      </c>
      <c r="B1" s="2"/>
      <c r="C1" s="2"/>
      <c r="D1" s="2"/>
      <c r="E1" s="2"/>
      <c r="F1" s="2"/>
      <c r="G1" s="2"/>
    </row>
    <row r="2" spans="1:7" ht="18" customHeight="1" x14ac:dyDescent="0.35">
      <c r="A2" s="18" t="s">
        <v>47</v>
      </c>
      <c r="B2" s="2"/>
      <c r="C2" s="2"/>
      <c r="D2" s="2"/>
      <c r="E2" s="2"/>
      <c r="F2" s="2"/>
      <c r="G2" s="2"/>
    </row>
    <row r="4" spans="1:7" ht="25" customHeight="1" x14ac:dyDescent="0.35">
      <c r="A4" s="19" t="s">
        <v>0</v>
      </c>
      <c r="B4" s="19" t="s">
        <v>1</v>
      </c>
      <c r="C4" s="20" t="s">
        <v>48</v>
      </c>
      <c r="D4" s="20" t="s">
        <v>2</v>
      </c>
      <c r="E4" s="21" t="s">
        <v>49</v>
      </c>
      <c r="F4" s="21" t="s">
        <v>50</v>
      </c>
      <c r="G4" s="19" t="s">
        <v>51</v>
      </c>
    </row>
    <row r="5" spans="1:7" ht="22" customHeight="1" x14ac:dyDescent="0.35">
      <c r="A5" s="22" t="s">
        <v>52</v>
      </c>
      <c r="B5" s="22" t="s">
        <v>53</v>
      </c>
      <c r="C5" s="23" t="s">
        <v>54</v>
      </c>
      <c r="D5" s="24">
        <v>1</v>
      </c>
      <c r="E5" s="25">
        <v>120</v>
      </c>
      <c r="F5" s="25">
        <f t="shared" ref="F5:F29" si="0">D5*E5</f>
        <v>120</v>
      </c>
      <c r="G5" s="22" t="s">
        <v>55</v>
      </c>
    </row>
    <row r="6" spans="1:7" ht="22" customHeight="1" x14ac:dyDescent="0.35">
      <c r="A6" s="26" t="s">
        <v>52</v>
      </c>
      <c r="B6" s="26" t="s">
        <v>56</v>
      </c>
      <c r="C6" s="23" t="s">
        <v>54</v>
      </c>
      <c r="D6" s="24">
        <v>1</v>
      </c>
      <c r="E6" s="25">
        <v>35</v>
      </c>
      <c r="F6" s="25">
        <f t="shared" si="0"/>
        <v>35</v>
      </c>
      <c r="G6" s="26" t="s">
        <v>57</v>
      </c>
    </row>
    <row r="7" spans="1:7" ht="22" customHeight="1" x14ac:dyDescent="0.35">
      <c r="A7" s="22" t="s">
        <v>52</v>
      </c>
      <c r="B7" s="22" t="s">
        <v>58</v>
      </c>
      <c r="C7" s="23" t="s">
        <v>54</v>
      </c>
      <c r="D7" s="24">
        <v>1</v>
      </c>
      <c r="E7" s="25">
        <v>25</v>
      </c>
      <c r="F7" s="25">
        <f t="shared" si="0"/>
        <v>25</v>
      </c>
      <c r="G7" s="22" t="s">
        <v>59</v>
      </c>
    </row>
    <row r="8" spans="1:7" ht="22" customHeight="1" x14ac:dyDescent="0.35">
      <c r="A8" s="26" t="s">
        <v>52</v>
      </c>
      <c r="B8" s="26" t="s">
        <v>60</v>
      </c>
      <c r="C8" s="23" t="s">
        <v>54</v>
      </c>
      <c r="D8" s="24">
        <v>1</v>
      </c>
      <c r="E8" s="25">
        <v>20</v>
      </c>
      <c r="F8" s="25">
        <f t="shared" si="0"/>
        <v>20</v>
      </c>
      <c r="G8" s="26" t="s">
        <v>61</v>
      </c>
    </row>
    <row r="9" spans="1:7" ht="22" customHeight="1" x14ac:dyDescent="0.35">
      <c r="A9" s="22" t="s">
        <v>52</v>
      </c>
      <c r="B9" s="22" t="s">
        <v>62</v>
      </c>
      <c r="C9" s="23" t="s">
        <v>54</v>
      </c>
      <c r="D9" s="24">
        <v>1</v>
      </c>
      <c r="E9" s="25">
        <v>22</v>
      </c>
      <c r="F9" s="25">
        <f t="shared" si="0"/>
        <v>22</v>
      </c>
      <c r="G9" s="22" t="s">
        <v>63</v>
      </c>
    </row>
    <row r="10" spans="1:7" ht="22" customHeight="1" x14ac:dyDescent="0.35">
      <c r="A10" s="26" t="s">
        <v>52</v>
      </c>
      <c r="B10" s="26" t="s">
        <v>64</v>
      </c>
      <c r="C10" s="23" t="s">
        <v>54</v>
      </c>
      <c r="D10" s="24">
        <v>1</v>
      </c>
      <c r="E10" s="25">
        <v>12</v>
      </c>
      <c r="F10" s="25">
        <f t="shared" si="0"/>
        <v>12</v>
      </c>
      <c r="G10" s="26" t="s">
        <v>65</v>
      </c>
    </row>
    <row r="11" spans="1:7" ht="22" customHeight="1" x14ac:dyDescent="0.35">
      <c r="A11" s="22" t="s">
        <v>66</v>
      </c>
      <c r="B11" s="22" t="s">
        <v>67</v>
      </c>
      <c r="C11" s="23" t="s">
        <v>54</v>
      </c>
      <c r="D11" s="24">
        <v>1</v>
      </c>
      <c r="E11" s="25">
        <v>8</v>
      </c>
      <c r="F11" s="25">
        <f t="shared" si="0"/>
        <v>8</v>
      </c>
      <c r="G11" s="22" t="s">
        <v>68</v>
      </c>
    </row>
    <row r="12" spans="1:7" ht="22" customHeight="1" x14ac:dyDescent="0.35">
      <c r="A12" s="26" t="s">
        <v>66</v>
      </c>
      <c r="B12" s="26" t="s">
        <v>69</v>
      </c>
      <c r="C12" s="23" t="s">
        <v>54</v>
      </c>
      <c r="D12" s="24">
        <v>1</v>
      </c>
      <c r="E12" s="25">
        <v>10</v>
      </c>
      <c r="F12" s="25">
        <f t="shared" si="0"/>
        <v>10</v>
      </c>
      <c r="G12" s="26" t="s">
        <v>70</v>
      </c>
    </row>
    <row r="13" spans="1:7" ht="22" customHeight="1" x14ac:dyDescent="0.35">
      <c r="A13" s="22" t="s">
        <v>66</v>
      </c>
      <c r="B13" s="22" t="s">
        <v>71</v>
      </c>
      <c r="C13" s="23" t="s">
        <v>54</v>
      </c>
      <c r="D13" s="24">
        <v>1</v>
      </c>
      <c r="E13" s="25">
        <v>18</v>
      </c>
      <c r="F13" s="25">
        <f t="shared" si="0"/>
        <v>18</v>
      </c>
      <c r="G13" s="22" t="s">
        <v>72</v>
      </c>
    </row>
    <row r="14" spans="1:7" ht="22" customHeight="1" x14ac:dyDescent="0.35">
      <c r="A14" s="26" t="s">
        <v>66</v>
      </c>
      <c r="B14" s="26" t="s">
        <v>73</v>
      </c>
      <c r="C14" s="27" t="s">
        <v>74</v>
      </c>
      <c r="D14" s="24">
        <v>1</v>
      </c>
      <c r="E14" s="25">
        <v>25</v>
      </c>
      <c r="F14" s="25">
        <f t="shared" si="0"/>
        <v>25</v>
      </c>
      <c r="G14" s="26" t="s">
        <v>75</v>
      </c>
    </row>
    <row r="15" spans="1:7" ht="22" customHeight="1" x14ac:dyDescent="0.35">
      <c r="A15" s="22" t="s">
        <v>66</v>
      </c>
      <c r="B15" s="22" t="s">
        <v>76</v>
      </c>
      <c r="C15" s="23" t="s">
        <v>54</v>
      </c>
      <c r="D15" s="24">
        <v>1</v>
      </c>
      <c r="E15" s="25">
        <v>12</v>
      </c>
      <c r="F15" s="25">
        <f t="shared" si="0"/>
        <v>12</v>
      </c>
      <c r="G15" s="22" t="s">
        <v>77</v>
      </c>
    </row>
    <row r="16" spans="1:7" ht="22" customHeight="1" x14ac:dyDescent="0.35">
      <c r="A16" s="26" t="s">
        <v>66</v>
      </c>
      <c r="B16" s="26" t="s">
        <v>78</v>
      </c>
      <c r="C16" s="27" t="s">
        <v>74</v>
      </c>
      <c r="D16" s="24">
        <v>1</v>
      </c>
      <c r="E16" s="25">
        <v>65</v>
      </c>
      <c r="F16" s="25">
        <f t="shared" si="0"/>
        <v>65</v>
      </c>
      <c r="G16" s="26" t="s">
        <v>79</v>
      </c>
    </row>
    <row r="17" spans="1:7" ht="22" customHeight="1" x14ac:dyDescent="0.35">
      <c r="A17" s="22" t="s">
        <v>80</v>
      </c>
      <c r="B17" s="22" t="s">
        <v>81</v>
      </c>
      <c r="C17" s="23" t="s">
        <v>54</v>
      </c>
      <c r="D17" s="24">
        <v>1</v>
      </c>
      <c r="E17" s="25">
        <v>18</v>
      </c>
      <c r="F17" s="25">
        <f t="shared" si="0"/>
        <v>18</v>
      </c>
      <c r="G17" s="22" t="s">
        <v>82</v>
      </c>
    </row>
    <row r="18" spans="1:7" ht="22" customHeight="1" x14ac:dyDescent="0.35">
      <c r="A18" s="26" t="s">
        <v>80</v>
      </c>
      <c r="B18" s="26" t="s">
        <v>83</v>
      </c>
      <c r="C18" s="23" t="s">
        <v>54</v>
      </c>
      <c r="D18" s="24">
        <v>1</v>
      </c>
      <c r="E18" s="25">
        <v>20</v>
      </c>
      <c r="F18" s="25">
        <f t="shared" si="0"/>
        <v>20</v>
      </c>
      <c r="G18" s="26" t="s">
        <v>84</v>
      </c>
    </row>
    <row r="19" spans="1:7" ht="22" customHeight="1" x14ac:dyDescent="0.35">
      <c r="A19" s="22" t="s">
        <v>80</v>
      </c>
      <c r="B19" s="22" t="s">
        <v>85</v>
      </c>
      <c r="C19" s="27" t="s">
        <v>74</v>
      </c>
      <c r="D19" s="24">
        <v>1</v>
      </c>
      <c r="E19" s="25">
        <v>45</v>
      </c>
      <c r="F19" s="25">
        <f t="shared" si="0"/>
        <v>45</v>
      </c>
      <c r="G19" s="22" t="s">
        <v>86</v>
      </c>
    </row>
    <row r="20" spans="1:7" ht="22" customHeight="1" x14ac:dyDescent="0.35">
      <c r="A20" s="26" t="s">
        <v>87</v>
      </c>
      <c r="B20" s="26" t="s">
        <v>88</v>
      </c>
      <c r="C20" s="23" t="s">
        <v>54</v>
      </c>
      <c r="D20" s="24">
        <v>1</v>
      </c>
      <c r="E20" s="25">
        <v>30</v>
      </c>
      <c r="F20" s="25">
        <f t="shared" si="0"/>
        <v>30</v>
      </c>
      <c r="G20" s="26" t="s">
        <v>89</v>
      </c>
    </row>
    <row r="21" spans="1:7" ht="22" customHeight="1" x14ac:dyDescent="0.35">
      <c r="A21" s="22" t="s">
        <v>87</v>
      </c>
      <c r="B21" s="22" t="s">
        <v>90</v>
      </c>
      <c r="C21" s="23" t="s">
        <v>54</v>
      </c>
      <c r="D21" s="24">
        <v>1</v>
      </c>
      <c r="E21" s="25">
        <v>18</v>
      </c>
      <c r="F21" s="25">
        <f t="shared" si="0"/>
        <v>18</v>
      </c>
      <c r="G21" s="22" t="s">
        <v>91</v>
      </c>
    </row>
    <row r="22" spans="1:7" ht="22" customHeight="1" x14ac:dyDescent="0.35">
      <c r="A22" s="26" t="s">
        <v>87</v>
      </c>
      <c r="B22" s="26" t="s">
        <v>92</v>
      </c>
      <c r="C22" s="23" t="s">
        <v>54</v>
      </c>
      <c r="D22" s="24">
        <v>1</v>
      </c>
      <c r="E22" s="25">
        <v>15</v>
      </c>
      <c r="F22" s="25">
        <f t="shared" si="0"/>
        <v>15</v>
      </c>
      <c r="G22" s="26" t="s">
        <v>93</v>
      </c>
    </row>
    <row r="23" spans="1:7" ht="22" customHeight="1" x14ac:dyDescent="0.35">
      <c r="A23" s="22" t="s">
        <v>94</v>
      </c>
      <c r="B23" s="22" t="s">
        <v>95</v>
      </c>
      <c r="C23" s="23" t="s">
        <v>54</v>
      </c>
      <c r="D23" s="24">
        <v>1</v>
      </c>
      <c r="E23" s="25">
        <v>35</v>
      </c>
      <c r="F23" s="25">
        <f t="shared" si="0"/>
        <v>35</v>
      </c>
      <c r="G23" s="22" t="s">
        <v>96</v>
      </c>
    </row>
    <row r="24" spans="1:7" ht="22" customHeight="1" x14ac:dyDescent="0.35">
      <c r="A24" s="26" t="s">
        <v>94</v>
      </c>
      <c r="B24" s="26" t="s">
        <v>97</v>
      </c>
      <c r="C24" s="23" t="s">
        <v>54</v>
      </c>
      <c r="D24" s="24">
        <v>1</v>
      </c>
      <c r="E24" s="25">
        <v>40</v>
      </c>
      <c r="F24" s="25">
        <f t="shared" si="0"/>
        <v>40</v>
      </c>
      <c r="G24" s="26" t="s">
        <v>98</v>
      </c>
    </row>
    <row r="25" spans="1:7" ht="22" customHeight="1" x14ac:dyDescent="0.35">
      <c r="A25" s="22" t="s">
        <v>94</v>
      </c>
      <c r="B25" s="22" t="s">
        <v>99</v>
      </c>
      <c r="C25" s="23" t="s">
        <v>54</v>
      </c>
      <c r="D25" s="24">
        <v>1</v>
      </c>
      <c r="E25" s="25">
        <v>12</v>
      </c>
      <c r="F25" s="25">
        <f t="shared" si="0"/>
        <v>12</v>
      </c>
      <c r="G25" s="22" t="s">
        <v>100</v>
      </c>
    </row>
    <row r="26" spans="1:7" ht="22" customHeight="1" x14ac:dyDescent="0.35">
      <c r="A26" s="26" t="s">
        <v>94</v>
      </c>
      <c r="B26" s="26" t="s">
        <v>101</v>
      </c>
      <c r="C26" s="23" t="s">
        <v>54</v>
      </c>
      <c r="D26" s="24">
        <v>1</v>
      </c>
      <c r="E26" s="25">
        <v>22</v>
      </c>
      <c r="F26" s="25">
        <f t="shared" si="0"/>
        <v>22</v>
      </c>
      <c r="G26" s="26" t="s">
        <v>102</v>
      </c>
    </row>
    <row r="27" spans="1:7" ht="22" customHeight="1" x14ac:dyDescent="0.35">
      <c r="A27" s="22" t="s">
        <v>94</v>
      </c>
      <c r="B27" s="22" t="s">
        <v>103</v>
      </c>
      <c r="C27" s="27" t="s">
        <v>74</v>
      </c>
      <c r="D27" s="24">
        <v>1</v>
      </c>
      <c r="E27" s="25">
        <v>110</v>
      </c>
      <c r="F27" s="25">
        <f t="shared" si="0"/>
        <v>110</v>
      </c>
      <c r="G27" s="22" t="s">
        <v>104</v>
      </c>
    </row>
    <row r="28" spans="1:7" ht="22" customHeight="1" x14ac:dyDescent="0.35">
      <c r="A28" s="26" t="s">
        <v>105</v>
      </c>
      <c r="B28" s="26" t="s">
        <v>106</v>
      </c>
      <c r="C28" s="23" t="s">
        <v>54</v>
      </c>
      <c r="D28" s="24">
        <v>1</v>
      </c>
      <c r="E28" s="25">
        <v>1500</v>
      </c>
      <c r="F28" s="25">
        <f t="shared" si="0"/>
        <v>1500</v>
      </c>
      <c r="G28" s="26" t="s">
        <v>107</v>
      </c>
    </row>
    <row r="29" spans="1:7" ht="22" customHeight="1" x14ac:dyDescent="0.35">
      <c r="A29" s="22" t="s">
        <v>105</v>
      </c>
      <c r="B29" s="22" t="s">
        <v>108</v>
      </c>
      <c r="C29" s="23" t="s">
        <v>54</v>
      </c>
      <c r="D29" s="24">
        <v>1</v>
      </c>
      <c r="E29" s="25">
        <v>150</v>
      </c>
      <c r="F29" s="25">
        <f t="shared" si="0"/>
        <v>150</v>
      </c>
      <c r="G29" s="22" t="s">
        <v>109</v>
      </c>
    </row>
    <row r="30" spans="1:7" ht="26" customHeight="1" thickBot="1" x14ac:dyDescent="0.4">
      <c r="A30" s="28" t="s">
        <v>110</v>
      </c>
      <c r="B30" s="29"/>
      <c r="C30" s="29"/>
      <c r="D30" s="29"/>
      <c r="E30" s="29"/>
      <c r="F30" s="30">
        <f>SUM(F5:F29)</f>
        <v>2387</v>
      </c>
      <c r="G30" s="31"/>
    </row>
  </sheetData>
  <mergeCells count="3">
    <mergeCell ref="A1:G1"/>
    <mergeCell ref="A2:G2"/>
    <mergeCell ref="A30:E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FC4A-F213-4905-87C7-A66AB38FD2CE}">
  <dimension ref="A1:L57"/>
  <sheetViews>
    <sheetView topLeftCell="A21" workbookViewId="0">
      <selection activeCell="L22" sqref="L22"/>
    </sheetView>
  </sheetViews>
  <sheetFormatPr defaultRowHeight="14.5" x14ac:dyDescent="0.35"/>
  <cols>
    <col min="12" max="12" width="9.81640625" bestFit="1" customWidth="1"/>
  </cols>
  <sheetData>
    <row r="1" spans="1:7" ht="25" x14ac:dyDescent="0.35">
      <c r="A1" s="32" t="s">
        <v>113</v>
      </c>
    </row>
    <row r="2" spans="1:7" x14ac:dyDescent="0.35">
      <c r="A2" s="33" t="s">
        <v>114</v>
      </c>
    </row>
    <row r="3" spans="1:7" ht="80.5" x14ac:dyDescent="0.35">
      <c r="A3" s="34" t="s">
        <v>115</v>
      </c>
      <c r="B3" s="34" t="s">
        <v>118</v>
      </c>
    </row>
    <row r="4" spans="1:7" ht="46" x14ac:dyDescent="0.35">
      <c r="A4" s="34" t="s">
        <v>116</v>
      </c>
      <c r="B4" s="34" t="s">
        <v>119</v>
      </c>
    </row>
    <row r="5" spans="1:7" ht="34.5" x14ac:dyDescent="0.35">
      <c r="A5" s="34" t="s">
        <v>117</v>
      </c>
      <c r="B5" s="34" t="s">
        <v>120</v>
      </c>
    </row>
    <row r="6" spans="1:7" ht="69" x14ac:dyDescent="0.35">
      <c r="A6" s="34" t="s">
        <v>121</v>
      </c>
      <c r="B6" s="34" t="s">
        <v>122</v>
      </c>
    </row>
    <row r="7" spans="1:7" x14ac:dyDescent="0.35">
      <c r="A7" s="35"/>
    </row>
    <row r="8" spans="1:7" ht="19" x14ac:dyDescent="0.35">
      <c r="A8" s="36" t="s">
        <v>123</v>
      </c>
    </row>
    <row r="9" spans="1:7" ht="44" x14ac:dyDescent="0.35">
      <c r="A9" s="37" t="s">
        <v>124</v>
      </c>
      <c r="B9" s="37" t="s">
        <v>125</v>
      </c>
      <c r="C9" s="37" t="s">
        <v>126</v>
      </c>
      <c r="D9" s="37" t="s">
        <v>2</v>
      </c>
      <c r="E9" s="37" t="s">
        <v>127</v>
      </c>
      <c r="F9" s="37" t="s">
        <v>49</v>
      </c>
      <c r="G9" s="37" t="s">
        <v>128</v>
      </c>
    </row>
    <row r="10" spans="1:7" ht="99" x14ac:dyDescent="0.35">
      <c r="A10" s="38">
        <v>1.1000000000000001</v>
      </c>
      <c r="B10" s="38" t="s">
        <v>129</v>
      </c>
      <c r="C10" s="38" t="s">
        <v>130</v>
      </c>
      <c r="D10" s="39">
        <v>8</v>
      </c>
      <c r="E10" s="38" t="s">
        <v>131</v>
      </c>
      <c r="F10" s="39">
        <v>210</v>
      </c>
      <c r="G10" s="40">
        <v>1680</v>
      </c>
    </row>
    <row r="11" spans="1:7" ht="99" x14ac:dyDescent="0.35">
      <c r="A11" s="41">
        <v>1.2</v>
      </c>
      <c r="B11" s="41" t="s">
        <v>132</v>
      </c>
      <c r="C11" s="41" t="s">
        <v>133</v>
      </c>
      <c r="D11" s="42">
        <v>3</v>
      </c>
      <c r="E11" s="41" t="s">
        <v>131</v>
      </c>
      <c r="F11" s="42">
        <v>450</v>
      </c>
      <c r="G11" s="43">
        <v>1350</v>
      </c>
    </row>
    <row r="12" spans="1:7" ht="110" x14ac:dyDescent="0.35">
      <c r="A12" s="38">
        <v>1.3</v>
      </c>
      <c r="B12" s="38" t="s">
        <v>134</v>
      </c>
      <c r="C12" s="38" t="s">
        <v>135</v>
      </c>
      <c r="D12" s="39">
        <v>8</v>
      </c>
      <c r="E12" s="38" t="s">
        <v>131</v>
      </c>
      <c r="F12" s="39">
        <v>85</v>
      </c>
      <c r="G12" s="39">
        <v>680</v>
      </c>
    </row>
    <row r="13" spans="1:7" ht="110" x14ac:dyDescent="0.35">
      <c r="A13" s="41">
        <v>1.4</v>
      </c>
      <c r="B13" s="41" t="s">
        <v>136</v>
      </c>
      <c r="C13" s="41" t="s">
        <v>137</v>
      </c>
      <c r="D13" s="42">
        <v>5</v>
      </c>
      <c r="E13" s="41" t="s">
        <v>138</v>
      </c>
      <c r="F13" s="42">
        <v>65</v>
      </c>
      <c r="G13" s="42">
        <v>325</v>
      </c>
    </row>
    <row r="14" spans="1:7" ht="110" x14ac:dyDescent="0.35">
      <c r="A14" s="38">
        <v>1.5</v>
      </c>
      <c r="B14" s="38" t="s">
        <v>139</v>
      </c>
      <c r="C14" s="38" t="s">
        <v>140</v>
      </c>
      <c r="D14" s="39">
        <v>15</v>
      </c>
      <c r="E14" s="38" t="s">
        <v>141</v>
      </c>
      <c r="F14" s="39">
        <v>16</v>
      </c>
      <c r="G14" s="39">
        <v>240</v>
      </c>
    </row>
    <row r="15" spans="1:7" ht="19" x14ac:dyDescent="0.35">
      <c r="A15" s="36" t="s">
        <v>142</v>
      </c>
    </row>
    <row r="16" spans="1:7" ht="44" x14ac:dyDescent="0.35">
      <c r="A16" s="37" t="s">
        <v>124</v>
      </c>
      <c r="B16" s="37" t="s">
        <v>125</v>
      </c>
      <c r="C16" s="37" t="s">
        <v>126</v>
      </c>
      <c r="D16" s="37" t="s">
        <v>2</v>
      </c>
      <c r="E16" s="37" t="s">
        <v>127</v>
      </c>
      <c r="F16" s="37" t="s">
        <v>49</v>
      </c>
      <c r="G16" s="37" t="s">
        <v>128</v>
      </c>
    </row>
    <row r="17" spans="1:12" ht="99" x14ac:dyDescent="0.35">
      <c r="A17" s="38">
        <v>2.1</v>
      </c>
      <c r="B17" s="38" t="s">
        <v>143</v>
      </c>
      <c r="C17" s="38" t="s">
        <v>144</v>
      </c>
      <c r="D17" s="39">
        <v>3</v>
      </c>
      <c r="E17" s="38" t="s">
        <v>131</v>
      </c>
      <c r="F17" s="39">
        <v>150</v>
      </c>
      <c r="G17" s="39">
        <v>450</v>
      </c>
    </row>
    <row r="18" spans="1:12" ht="110" x14ac:dyDescent="0.35">
      <c r="A18" s="41">
        <v>2.2000000000000002</v>
      </c>
      <c r="B18" s="41" t="s">
        <v>145</v>
      </c>
      <c r="C18" s="41" t="s">
        <v>146</v>
      </c>
      <c r="D18" s="42">
        <v>8</v>
      </c>
      <c r="E18" s="41" t="s">
        <v>138</v>
      </c>
      <c r="F18" s="42">
        <v>35</v>
      </c>
      <c r="G18" s="42">
        <v>280</v>
      </c>
    </row>
    <row r="19" spans="1:12" ht="88" x14ac:dyDescent="0.35">
      <c r="A19" s="38">
        <v>2.2999999999999998</v>
      </c>
      <c r="B19" s="38" t="s">
        <v>147</v>
      </c>
      <c r="C19" s="38" t="s">
        <v>148</v>
      </c>
      <c r="D19" s="39">
        <v>5</v>
      </c>
      <c r="E19" s="38" t="s">
        <v>149</v>
      </c>
      <c r="F19" s="39">
        <v>85</v>
      </c>
      <c r="G19" s="39">
        <v>425</v>
      </c>
    </row>
    <row r="20" spans="1:12" ht="99" x14ac:dyDescent="0.35">
      <c r="A20" s="41">
        <v>2.4</v>
      </c>
      <c r="B20" s="41" t="s">
        <v>150</v>
      </c>
      <c r="C20" s="41" t="s">
        <v>151</v>
      </c>
      <c r="D20" s="42">
        <v>15</v>
      </c>
      <c r="E20" s="41" t="s">
        <v>141</v>
      </c>
      <c r="F20" s="42">
        <v>14</v>
      </c>
      <c r="G20" s="42">
        <v>210</v>
      </c>
    </row>
    <row r="21" spans="1:12" ht="110" x14ac:dyDescent="0.35">
      <c r="A21" s="38">
        <v>2.5</v>
      </c>
      <c r="B21" s="38" t="s">
        <v>152</v>
      </c>
      <c r="C21" s="38" t="s">
        <v>153</v>
      </c>
      <c r="D21" s="39">
        <v>15</v>
      </c>
      <c r="E21" s="38" t="s">
        <v>138</v>
      </c>
      <c r="F21" s="39">
        <v>8</v>
      </c>
      <c r="G21" s="39">
        <v>120</v>
      </c>
    </row>
    <row r="22" spans="1:12" ht="19" x14ac:dyDescent="0.35">
      <c r="A22" s="36" t="s">
        <v>154</v>
      </c>
      <c r="L22">
        <v>922844108</v>
      </c>
    </row>
    <row r="23" spans="1:12" ht="44" x14ac:dyDescent="0.35">
      <c r="A23" s="37" t="s">
        <v>124</v>
      </c>
      <c r="B23" s="37" t="s">
        <v>125</v>
      </c>
      <c r="C23" s="37" t="s">
        <v>126</v>
      </c>
      <c r="D23" s="37" t="s">
        <v>2</v>
      </c>
      <c r="E23" s="37" t="s">
        <v>127</v>
      </c>
      <c r="F23" s="37" t="s">
        <v>49</v>
      </c>
      <c r="G23" s="37" t="s">
        <v>128</v>
      </c>
    </row>
    <row r="24" spans="1:12" ht="99" x14ac:dyDescent="0.35">
      <c r="A24" s="38">
        <v>3.1</v>
      </c>
      <c r="B24" s="38" t="s">
        <v>155</v>
      </c>
      <c r="C24" s="38" t="s">
        <v>156</v>
      </c>
      <c r="D24" s="39">
        <v>4</v>
      </c>
      <c r="E24" s="38" t="s">
        <v>131</v>
      </c>
      <c r="F24" s="39">
        <v>140</v>
      </c>
      <c r="G24" s="39">
        <v>560</v>
      </c>
    </row>
    <row r="25" spans="1:12" ht="110" x14ac:dyDescent="0.35">
      <c r="A25" s="41">
        <v>3.2</v>
      </c>
      <c r="B25" s="41" t="s">
        <v>157</v>
      </c>
      <c r="C25" s="41" t="s">
        <v>158</v>
      </c>
      <c r="D25" s="42">
        <v>15</v>
      </c>
      <c r="E25" s="41" t="s">
        <v>138</v>
      </c>
      <c r="F25" s="42">
        <v>18</v>
      </c>
      <c r="G25" s="42">
        <v>270</v>
      </c>
    </row>
    <row r="26" spans="1:12" ht="88" x14ac:dyDescent="0.35">
      <c r="A26" s="38">
        <v>3.3</v>
      </c>
      <c r="B26" s="38" t="s">
        <v>159</v>
      </c>
      <c r="C26" s="38" t="s">
        <v>160</v>
      </c>
      <c r="D26" s="39">
        <v>15</v>
      </c>
      <c r="E26" s="38" t="s">
        <v>138</v>
      </c>
      <c r="F26" s="39">
        <v>12</v>
      </c>
      <c r="G26" s="39">
        <v>180</v>
      </c>
    </row>
    <row r="27" spans="1:12" ht="110" x14ac:dyDescent="0.35">
      <c r="A27" s="41">
        <v>3.4</v>
      </c>
      <c r="B27" s="41" t="s">
        <v>161</v>
      </c>
      <c r="C27" s="41" t="s">
        <v>162</v>
      </c>
      <c r="D27" s="42">
        <v>15</v>
      </c>
      <c r="E27" s="41" t="s">
        <v>141</v>
      </c>
      <c r="F27" s="42">
        <v>10</v>
      </c>
      <c r="G27" s="42">
        <v>150</v>
      </c>
    </row>
    <row r="28" spans="1:12" ht="110" x14ac:dyDescent="0.35">
      <c r="A28" s="38">
        <v>3.5</v>
      </c>
      <c r="B28" s="38" t="s">
        <v>163</v>
      </c>
      <c r="C28" s="38" t="s">
        <v>164</v>
      </c>
      <c r="D28" s="39">
        <v>6</v>
      </c>
      <c r="E28" s="38" t="s">
        <v>141</v>
      </c>
      <c r="F28" s="39">
        <v>26</v>
      </c>
      <c r="G28" s="39">
        <v>156</v>
      </c>
    </row>
    <row r="29" spans="1:12" ht="99" x14ac:dyDescent="0.35">
      <c r="A29" s="41">
        <v>3.6</v>
      </c>
      <c r="B29" s="41" t="s">
        <v>165</v>
      </c>
      <c r="C29" s="41" t="s">
        <v>166</v>
      </c>
      <c r="D29" s="42">
        <v>10</v>
      </c>
      <c r="E29" s="41" t="s">
        <v>141</v>
      </c>
      <c r="F29" s="42">
        <v>15</v>
      </c>
      <c r="G29" s="42">
        <v>150</v>
      </c>
    </row>
    <row r="30" spans="1:12" ht="19" x14ac:dyDescent="0.35">
      <c r="A30" s="36" t="s">
        <v>167</v>
      </c>
    </row>
    <row r="31" spans="1:12" ht="44" x14ac:dyDescent="0.35">
      <c r="A31" s="37" t="s">
        <v>124</v>
      </c>
      <c r="B31" s="37" t="s">
        <v>125</v>
      </c>
      <c r="C31" s="37" t="s">
        <v>126</v>
      </c>
      <c r="D31" s="37" t="s">
        <v>2</v>
      </c>
      <c r="E31" s="37" t="s">
        <v>127</v>
      </c>
      <c r="F31" s="37" t="s">
        <v>49</v>
      </c>
      <c r="G31" s="37" t="s">
        <v>128</v>
      </c>
    </row>
    <row r="32" spans="1:12" ht="99" x14ac:dyDescent="0.35">
      <c r="A32" s="38">
        <v>4.0999999999999996</v>
      </c>
      <c r="B32" s="38" t="s">
        <v>168</v>
      </c>
      <c r="C32" s="38" t="s">
        <v>169</v>
      </c>
      <c r="D32" s="39">
        <v>15</v>
      </c>
      <c r="E32" s="38" t="s">
        <v>141</v>
      </c>
      <c r="F32" s="39">
        <v>12</v>
      </c>
      <c r="G32" s="39">
        <v>180</v>
      </c>
    </row>
    <row r="33" spans="1:7" ht="121" x14ac:dyDescent="0.35">
      <c r="A33" s="41">
        <v>4.2</v>
      </c>
      <c r="B33" s="41" t="s">
        <v>170</v>
      </c>
      <c r="C33" s="41" t="s">
        <v>171</v>
      </c>
      <c r="D33" s="42">
        <v>6</v>
      </c>
      <c r="E33" s="41" t="s">
        <v>149</v>
      </c>
      <c r="F33" s="42">
        <v>55</v>
      </c>
      <c r="G33" s="42">
        <v>330</v>
      </c>
    </row>
    <row r="34" spans="1:7" ht="99" x14ac:dyDescent="0.35">
      <c r="A34" s="38">
        <v>4.3</v>
      </c>
      <c r="B34" s="38" t="s">
        <v>172</v>
      </c>
      <c r="C34" s="38" t="s">
        <v>173</v>
      </c>
      <c r="D34" s="39">
        <v>10</v>
      </c>
      <c r="E34" s="38" t="s">
        <v>138</v>
      </c>
      <c r="F34" s="39">
        <v>12</v>
      </c>
      <c r="G34" s="39">
        <v>120</v>
      </c>
    </row>
    <row r="35" spans="1:7" ht="110" x14ac:dyDescent="0.35">
      <c r="A35" s="41">
        <v>4.4000000000000004</v>
      </c>
      <c r="B35" s="41" t="s">
        <v>174</v>
      </c>
      <c r="C35" s="41" t="s">
        <v>175</v>
      </c>
      <c r="D35" s="42">
        <v>8</v>
      </c>
      <c r="E35" s="41" t="s">
        <v>141</v>
      </c>
      <c r="F35" s="42">
        <v>14</v>
      </c>
      <c r="G35" s="42">
        <v>112</v>
      </c>
    </row>
    <row r="36" spans="1:7" ht="19" x14ac:dyDescent="0.35">
      <c r="A36" s="36" t="s">
        <v>176</v>
      </c>
    </row>
    <row r="37" spans="1:7" ht="44" x14ac:dyDescent="0.35">
      <c r="A37" s="37" t="s">
        <v>124</v>
      </c>
      <c r="B37" s="37" t="s">
        <v>125</v>
      </c>
      <c r="C37" s="37" t="s">
        <v>126</v>
      </c>
      <c r="D37" s="37" t="s">
        <v>2</v>
      </c>
      <c r="E37" s="37" t="s">
        <v>127</v>
      </c>
      <c r="F37" s="37" t="s">
        <v>49</v>
      </c>
      <c r="G37" s="37" t="s">
        <v>128</v>
      </c>
    </row>
    <row r="38" spans="1:7" ht="110" x14ac:dyDescent="0.35">
      <c r="A38" s="38">
        <v>5.0999999999999996</v>
      </c>
      <c r="B38" s="38" t="s">
        <v>177</v>
      </c>
      <c r="C38" s="38" t="s">
        <v>178</v>
      </c>
      <c r="D38" s="39">
        <v>15</v>
      </c>
      <c r="E38" s="38" t="s">
        <v>138</v>
      </c>
      <c r="F38" s="39">
        <v>25</v>
      </c>
      <c r="G38" s="39">
        <v>375</v>
      </c>
    </row>
    <row r="39" spans="1:7" ht="110" x14ac:dyDescent="0.35">
      <c r="A39" s="41">
        <v>5.2</v>
      </c>
      <c r="B39" s="41" t="s">
        <v>179</v>
      </c>
      <c r="C39" s="41" t="s">
        <v>180</v>
      </c>
      <c r="D39" s="42">
        <v>15</v>
      </c>
      <c r="E39" s="41" t="s">
        <v>181</v>
      </c>
      <c r="F39" s="42">
        <v>22</v>
      </c>
      <c r="G39" s="42">
        <v>330</v>
      </c>
    </row>
    <row r="40" spans="1:7" ht="99" x14ac:dyDescent="0.35">
      <c r="A40" s="38">
        <v>5.3</v>
      </c>
      <c r="B40" s="38" t="s">
        <v>182</v>
      </c>
      <c r="C40" s="38" t="s">
        <v>183</v>
      </c>
      <c r="D40" s="39">
        <v>30</v>
      </c>
      <c r="E40" s="38" t="s">
        <v>184</v>
      </c>
      <c r="F40" s="39">
        <v>9.5</v>
      </c>
      <c r="G40" s="39">
        <v>285</v>
      </c>
    </row>
    <row r="41" spans="1:7" ht="110" x14ac:dyDescent="0.35">
      <c r="A41" s="41">
        <v>5.4</v>
      </c>
      <c r="B41" s="41" t="s">
        <v>185</v>
      </c>
      <c r="C41" s="41" t="s">
        <v>186</v>
      </c>
      <c r="D41" s="42">
        <v>15</v>
      </c>
      <c r="E41" s="41" t="s">
        <v>184</v>
      </c>
      <c r="F41" s="42">
        <v>16.5</v>
      </c>
      <c r="G41" s="42">
        <v>247.5</v>
      </c>
    </row>
    <row r="42" spans="1:7" ht="88" x14ac:dyDescent="0.35">
      <c r="A42" s="38">
        <v>5.5</v>
      </c>
      <c r="B42" s="38" t="s">
        <v>187</v>
      </c>
      <c r="C42" s="38" t="s">
        <v>188</v>
      </c>
      <c r="D42" s="39">
        <v>20</v>
      </c>
      <c r="E42" s="38" t="s">
        <v>141</v>
      </c>
      <c r="F42" s="39">
        <v>8</v>
      </c>
      <c r="G42" s="39">
        <v>160</v>
      </c>
    </row>
    <row r="43" spans="1:7" ht="19" x14ac:dyDescent="0.35">
      <c r="A43" s="36" t="s">
        <v>189</v>
      </c>
    </row>
    <row r="44" spans="1:7" ht="33" x14ac:dyDescent="0.35">
      <c r="A44" s="44" t="s">
        <v>190</v>
      </c>
      <c r="B44" s="44" t="s">
        <v>191</v>
      </c>
    </row>
    <row r="45" spans="1:7" ht="44" x14ac:dyDescent="0.35">
      <c r="A45" s="38" t="s">
        <v>192</v>
      </c>
      <c r="B45" s="45">
        <v>4275</v>
      </c>
    </row>
    <row r="46" spans="1:7" ht="66" x14ac:dyDescent="0.35">
      <c r="A46" s="41" t="s">
        <v>193</v>
      </c>
      <c r="B46" s="46">
        <v>1485</v>
      </c>
    </row>
    <row r="47" spans="1:7" ht="66" x14ac:dyDescent="0.35">
      <c r="A47" s="38" t="s">
        <v>194</v>
      </c>
      <c r="B47" s="45">
        <v>1466</v>
      </c>
    </row>
    <row r="48" spans="1:7" ht="55" x14ac:dyDescent="0.35">
      <c r="A48" s="41" t="s">
        <v>195</v>
      </c>
      <c r="B48" s="41">
        <v>742</v>
      </c>
    </row>
    <row r="49" spans="1:2" ht="77" x14ac:dyDescent="0.35">
      <c r="A49" s="38" t="s">
        <v>196</v>
      </c>
      <c r="B49" s="45">
        <v>1397.5</v>
      </c>
    </row>
    <row r="50" spans="1:2" ht="33" x14ac:dyDescent="0.35">
      <c r="A50" s="41" t="s">
        <v>197</v>
      </c>
      <c r="B50" s="46">
        <v>9365.5</v>
      </c>
    </row>
    <row r="51" spans="1:2" ht="55" x14ac:dyDescent="0.35">
      <c r="A51" s="38" t="s">
        <v>198</v>
      </c>
      <c r="B51" s="38">
        <v>468.28</v>
      </c>
    </row>
    <row r="52" spans="1:2" ht="33" x14ac:dyDescent="0.35">
      <c r="A52" s="41" t="s">
        <v>199</v>
      </c>
      <c r="B52" s="41">
        <v>983.38</v>
      </c>
    </row>
    <row r="53" spans="1:2" ht="28" x14ac:dyDescent="0.35">
      <c r="A53" s="47" t="s">
        <v>200</v>
      </c>
      <c r="B53" s="48">
        <v>10817.16</v>
      </c>
    </row>
    <row r="54" spans="1:2" ht="19" x14ac:dyDescent="0.35">
      <c r="A54" s="36" t="s">
        <v>201</v>
      </c>
    </row>
    <row r="55" spans="1:2" x14ac:dyDescent="0.35">
      <c r="A55" s="49" t="s">
        <v>202</v>
      </c>
    </row>
    <row r="56" spans="1:2" x14ac:dyDescent="0.35">
      <c r="A56" s="49" t="s">
        <v>203</v>
      </c>
    </row>
    <row r="57" spans="1:2" x14ac:dyDescent="0.35">
      <c r="A57" s="49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Startup Quotation</vt:lpstr>
      <vt:lpstr>Equipment Quotation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Garang Abel</dc:creator>
  <cp:lastModifiedBy>Garang Abel</cp:lastModifiedBy>
  <dcterms:created xsi:type="dcterms:W3CDTF">2026-08-05T06:54:58Z</dcterms:created>
  <dcterms:modified xsi:type="dcterms:W3CDTF">2026-08-05T07:38:04Z</dcterms:modified>
</cp:coreProperties>
</file>